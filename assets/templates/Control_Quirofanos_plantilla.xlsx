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Q1" sheetId="1" state="visible" r:id="rId1"/>
    <sheet name="Q2" sheetId="2" state="visible" r:id="rId2"/>
    <sheet name="Resume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-F400]h:mm:ss\ AM/PM"/>
    <numFmt numFmtId="165" formatCode="&quot;Q&quot;#,##0;[Red]\-&quot;Q&quot;#,##0"/>
    <numFmt numFmtId="166" formatCode="[h]:mm"/>
    <numFmt numFmtId="167" formatCode="0.0%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4"/>
      <sz val="11"/>
      <scheme val="minor"/>
    </font>
    <font>
      <name val="Aptos"/>
      <family val="2"/>
      <color theme="1"/>
      <sz val="11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20" fontId="0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20" fontId="0" fillId="0" borderId="0" pivotButton="0" quotePrefix="0" xfId="0"/>
    <xf numFmtId="14" fontId="0" fillId="0" borderId="1" pivotButton="0" quotePrefix="0" xfId="0"/>
    <xf numFmtId="164" fontId="6" fillId="0" borderId="0" pivotButton="0" quotePrefix="0" xfId="0"/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/>
    </xf>
    <xf numFmtId="0" fontId="3" fillId="0" borderId="0" pivotButton="0" quotePrefix="0" xfId="0"/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6" fontId="0" fillId="0" borderId="0" pivotButton="0" quotePrefix="0" xfId="0"/>
    <xf numFmtId="0" fontId="0" fillId="7" borderId="1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/>
    </xf>
    <xf numFmtId="1" fontId="0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167" fontId="6" fillId="2" borderId="1" applyAlignment="1" pivotButton="0" quotePrefix="0" xfId="1">
      <alignment horizontal="center"/>
    </xf>
    <xf numFmtId="0" fontId="6" fillId="2" borderId="2" applyAlignment="1" pivotButton="0" quotePrefix="0" xfId="0">
      <alignment horizontal="center" wrapText="1"/>
    </xf>
    <xf numFmtId="0" fontId="6" fillId="2" borderId="4" applyAlignment="1" pivotButton="0" quotePrefix="0" xfId="0">
      <alignment horizontal="center" wrapText="1"/>
    </xf>
    <xf numFmtId="0" fontId="6" fillId="2" borderId="3" applyAlignment="1" pivotButton="0" quotePrefix="0" xfId="0">
      <alignment horizontal="center" wrapText="1"/>
    </xf>
    <xf numFmtId="164" fontId="6" fillId="2" borderId="2" applyAlignment="1" pivotButton="0" quotePrefix="0" xfId="0">
      <alignment horizontal="center"/>
    </xf>
    <xf numFmtId="164" fontId="6" fillId="2" borderId="4" applyAlignment="1" pivotButton="0" quotePrefix="0" xfId="0">
      <alignment horizontal="center"/>
    </xf>
    <xf numFmtId="164" fontId="6" fillId="2" borderId="3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164" fontId="6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66" fontId="6" fillId="2" borderId="1" applyAlignment="1" pivotButton="0" quotePrefix="0" xfId="0">
      <alignment horizontal="center"/>
    </xf>
    <xf numFmtId="9" fontId="6" fillId="0" borderId="0" applyAlignment="1" pivotButton="0" quotePrefix="0" xfId="1">
      <alignment horizontal="center"/>
    </xf>
    <xf numFmtId="9" fontId="6" fillId="2" borderId="1" applyAlignment="1" pivotButton="0" quotePrefix="0" xfId="1">
      <alignment horizontal="center"/>
    </xf>
    <xf numFmtId="0" fontId="6" fillId="2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20" fontId="0" fillId="0" borderId="2" applyAlignment="1" pivotButton="0" quotePrefix="0" xfId="0">
      <alignment horizontal="center"/>
    </xf>
    <xf numFmtId="20" fontId="0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6" fillId="2" borderId="1" applyAlignment="1" pivotButton="0" quotePrefix="0" xfId="1">
      <alignment horizontal="center"/>
    </xf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7" fontId="2" fillId="2" borderId="1" applyAlignment="1" pivotButton="0" quotePrefix="0" xfId="1">
      <alignment horizontal="center"/>
    </xf>
    <xf numFmtId="9" fontId="2" fillId="2" borderId="1" applyAlignment="1" pivotButton="0" quotePrefix="0" xfId="1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167" fontId="6" fillId="2" borderId="1" applyAlignment="1" pivotButton="0" quotePrefix="0" xfId="1">
      <alignment horizontal="center"/>
    </xf>
    <xf numFmtId="165" fontId="0" fillId="0" borderId="0" pivotButton="0" quotePrefix="0" xfId="0"/>
    <xf numFmtId="167" fontId="2" fillId="2" borderId="1" applyAlignment="1" pivotButton="0" quotePrefix="0" xfId="1">
      <alignment horizontal="center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76201</colOff>
      <row>0</row>
      <rowOff>57151</rowOff>
    </from>
    <to>
      <col>2</col>
      <colOff>796926</colOff>
      <row>4</row>
      <rowOff>10263</rowOff>
    </to>
    <pic>
      <nvPicPr>
        <cNvPr id="3" name="Imagen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76201" y="57151"/>
          <a:ext cx="1847850" cy="71511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76201</colOff>
      <row>0</row>
      <rowOff>57151</rowOff>
    </from>
    <to>
      <col>2</col>
      <colOff>674462</colOff>
      <row>4</row>
      <rowOff>10263</rowOff>
    </to>
    <pic>
      <nvPicPr>
        <cNvPr id="2" name="Imagen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76201" y="57151"/>
          <a:ext cx="1835150" cy="715112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142876</colOff>
      <row>0</row>
      <rowOff>114301</rowOff>
    </from>
    <to>
      <col>1</col>
      <colOff>1228726</colOff>
      <row>4</row>
      <rowOff>67413</rowOff>
    </to>
    <pic>
      <nvPicPr>
        <cNvPr id="2" name="Imagen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42876" y="114301"/>
          <a:ext cx="1847850" cy="71511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M614"/>
  <sheetViews>
    <sheetView topLeftCell="A70" zoomScaleNormal="100" workbookViewId="0">
      <selection activeCell="I14" sqref="I14"/>
    </sheetView>
  </sheetViews>
  <sheetFormatPr baseColWidth="10" defaultRowHeight="15"/>
  <cols>
    <col width="5.140625" bestFit="1" customWidth="1" min="1" max="1"/>
    <col width="11.7109375" customWidth="1" min="2" max="2"/>
    <col width="32.7109375" customWidth="1" min="3" max="3"/>
    <col width="19.85546875" bestFit="1" customWidth="1" min="4" max="4"/>
    <col width="25.85546875" bestFit="1" customWidth="1" min="5" max="5"/>
    <col width="23.28515625" customWidth="1" min="6" max="6"/>
    <col width="23.140625" customWidth="1" min="7" max="7"/>
    <col width="21.28515625" customWidth="1" min="8" max="8"/>
    <col width="19" bestFit="1" customWidth="1" min="9" max="9"/>
    <col width="19.7109375" bestFit="1" customWidth="1" min="10" max="11"/>
    <col width="19.7109375" customWidth="1" min="12" max="16"/>
    <col width="14.42578125" customWidth="1" min="17" max="17"/>
    <col width="13.7109375" bestFit="1" customWidth="1" min="18" max="18"/>
    <col width="13.5703125" customWidth="1" min="19" max="19"/>
    <col width="13.7109375" bestFit="1" customWidth="1" min="20" max="20"/>
    <col width="12.140625" customWidth="1" min="21" max="21"/>
    <col width="12.5703125" customWidth="1" min="22" max="22"/>
    <col hidden="1" width="11.42578125" customWidth="1" min="23" max="23"/>
    <col width="11.42578125" customWidth="1" min="24" max="24"/>
    <col width="17" customWidth="1" min="26" max="26"/>
    <col width="14" customWidth="1" min="27" max="27"/>
    <col width="12.7109375" customWidth="1" min="30" max="30"/>
    <col width="13" customWidth="1" min="31" max="31"/>
    <col hidden="1" width="17" customWidth="1" min="34" max="35"/>
    <col hidden="1" width="58.5703125" customWidth="1" min="36" max="36"/>
    <col hidden="1" width="11.42578125" customWidth="1" min="37" max="38"/>
    <col hidden="1" width="154.28515625" customWidth="1" min="39" max="39"/>
    <col width="11.42578125" customWidth="1" min="40" max="40"/>
  </cols>
  <sheetData>
    <row r="2">
      <c r="C2" s="47" t="inlineStr">
        <is>
          <t>MINISTERIO DE SALUD PÚBLICA Y ASISTENCIA SOCIAL</t>
        </is>
      </c>
    </row>
    <row r="3">
      <c r="C3" s="47" t="inlineStr">
        <is>
          <t>Hospital de Tecpán</t>
        </is>
      </c>
    </row>
    <row r="4">
      <c r="C4" s="47" t="inlineStr">
        <is>
          <t>Hoja de Control de Quirófanos</t>
        </is>
      </c>
    </row>
    <row r="5"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</row>
    <row r="6">
      <c r="B6" s="48" t="inlineStr">
        <is>
          <t>QUIRÓFANO #1</t>
        </is>
      </c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4" t="n"/>
      <c r="AH6" s="14" t="inlineStr">
        <is>
          <t>Formato</t>
        </is>
      </c>
      <c r="AI6" s="14" t="inlineStr">
        <is>
          <t>Estado_Cirugia</t>
        </is>
      </c>
      <c r="AJ6" s="14" t="inlineStr">
        <is>
          <t>Procedimientos</t>
        </is>
      </c>
      <c r="AK6" s="14" t="inlineStr">
        <is>
          <t>Rangos</t>
        </is>
      </c>
      <c r="AL6" s="14" t="inlineStr">
        <is>
          <t>Procedencia</t>
        </is>
      </c>
    </row>
    <row r="7">
      <c r="B7" s="36" t="inlineStr">
        <is>
          <t>Encargado</t>
        </is>
      </c>
      <c r="C7" s="64" t="n"/>
      <c r="D7" s="51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AH7" t="inlineStr">
        <is>
          <t>Abierta</t>
        </is>
      </c>
      <c r="AI7" t="inlineStr">
        <is>
          <t>Finalizada</t>
        </is>
      </c>
      <c r="AJ7" s="1" t="inlineStr">
        <is>
          <t>Cirugía Cardiovascular - Angioplastia coronaria</t>
        </is>
      </c>
      <c r="AK7" t="inlineStr">
        <is>
          <t>Especialista</t>
        </is>
      </c>
      <c r="AL7" t="inlineStr">
        <is>
          <t>Emergencia</t>
        </is>
      </c>
    </row>
    <row r="8">
      <c r="B8" s="36" t="inlineStr">
        <is>
          <t>Uso</t>
        </is>
      </c>
      <c r="C8" s="64" t="n"/>
      <c r="D8" s="51" t="n"/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  <c r="N8" s="63" t="n"/>
      <c r="O8" s="63" t="n"/>
      <c r="P8" s="63" t="n"/>
      <c r="Q8" s="63" t="n"/>
      <c r="R8" s="63" t="n"/>
      <c r="S8" s="63" t="n"/>
      <c r="AH8" t="inlineStr">
        <is>
          <t>Videolaparoscópica</t>
        </is>
      </c>
      <c r="AI8" t="inlineStr">
        <is>
          <t>Cancelada</t>
        </is>
      </c>
      <c r="AJ8" s="1" t="inlineStr">
        <is>
          <t>Cirugía Cardiovascular - Bypass coronario</t>
        </is>
      </c>
      <c r="AK8" t="inlineStr">
        <is>
          <t>Médico General</t>
        </is>
      </c>
      <c r="AL8" t="inlineStr">
        <is>
          <t>Electiva</t>
        </is>
      </c>
    </row>
    <row r="9">
      <c r="B9" s="36" t="inlineStr">
        <is>
          <t>Hora de apertura de quirófano</t>
        </is>
      </c>
      <c r="C9" s="64" t="n"/>
      <c r="D9" s="49" t="n"/>
      <c r="E9" s="63" t="n"/>
      <c r="F9" s="63" t="n"/>
      <c r="G9" s="63" t="n"/>
      <c r="H9" s="63" t="n"/>
      <c r="I9" s="63" t="n"/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AH9" t="inlineStr">
        <is>
          <t>Endoscópica</t>
        </is>
      </c>
      <c r="AJ9" s="1" t="inlineStr">
        <is>
          <t>Cirugía Cardiovascular - Cirugía de aorta torácica</t>
        </is>
      </c>
      <c r="AK9" t="inlineStr">
        <is>
          <t>R1</t>
        </is>
      </c>
      <c r="AL9" t="inlineStr">
        <is>
          <t>Hospital de día</t>
        </is>
      </c>
    </row>
    <row r="10">
      <c r="B10" s="36" t="inlineStr">
        <is>
          <t>Hora de cierre de quirófano</t>
        </is>
      </c>
      <c r="C10" s="64" t="n"/>
      <c r="D10" s="49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AH10" t="inlineStr">
        <is>
          <t>Artroscópica</t>
        </is>
      </c>
      <c r="AJ10" s="1" t="inlineStr">
        <is>
          <t>Cirugía Cardiovascular - Cirugía vascular periférica</t>
        </is>
      </c>
      <c r="AK10" t="inlineStr">
        <is>
          <t>R2</t>
        </is>
      </c>
    </row>
    <row r="11">
      <c r="B11" s="36" t="inlineStr">
        <is>
          <t>Cantidad de días en que está abierto</t>
        </is>
      </c>
      <c r="C11" s="64" t="n"/>
      <c r="D11" s="21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AH11" t="inlineStr">
        <is>
          <t>Percutánea</t>
        </is>
      </c>
      <c r="AJ11" s="1" t="inlineStr">
        <is>
          <t>Cirugía Cardiovascular - Endarterectomía carotídea</t>
        </is>
      </c>
      <c r="AK11" t="inlineStr">
        <is>
          <t>R3</t>
        </is>
      </c>
    </row>
    <row r="12">
      <c r="AH12" t="inlineStr">
        <is>
          <t>Endourológica</t>
        </is>
      </c>
      <c r="AJ12" s="1" t="inlineStr">
        <is>
          <t>Cirugía Cardiovascular - Implantación de marcapasos</t>
        </is>
      </c>
      <c r="AK12" t="inlineStr">
        <is>
          <t>R3</t>
        </is>
      </c>
    </row>
    <row r="13" ht="88.5" customHeight="1">
      <c r="A13" s="3" t="inlineStr">
        <is>
          <t>No</t>
        </is>
      </c>
      <c r="B13" s="3" t="inlineStr">
        <is>
          <t>Fecha</t>
        </is>
      </c>
      <c r="C13" s="3" t="inlineStr">
        <is>
          <t>Nombre del Paciente</t>
        </is>
      </c>
      <c r="D13" s="3" t="inlineStr">
        <is>
          <t>Rango del Médico</t>
        </is>
      </c>
      <c r="E13" s="3" t="inlineStr">
        <is>
          <t>Especialidad del Médico</t>
        </is>
      </c>
      <c r="F13" s="3" t="inlineStr">
        <is>
          <t>Nombre del Médico</t>
        </is>
      </c>
      <c r="G13" s="3" t="inlineStr">
        <is>
          <t>Procedencia paciente</t>
        </is>
      </c>
      <c r="H13" s="4" t="inlineStr">
        <is>
          <t>Formato de Intervención</t>
        </is>
      </c>
      <c r="I13" s="20" t="inlineStr">
        <is>
          <t>Procedimiento #1 (Principal)</t>
        </is>
      </c>
      <c r="J13" s="3" t="inlineStr">
        <is>
          <t>Procedimiento #2</t>
        </is>
      </c>
      <c r="K13" s="3" t="inlineStr">
        <is>
          <t>Procedimiento #3</t>
        </is>
      </c>
      <c r="L13" s="3" t="inlineStr">
        <is>
          <t>Procedimiento #4</t>
        </is>
      </c>
      <c r="M13" s="3" t="inlineStr">
        <is>
          <t>Procedimiento #5</t>
        </is>
      </c>
      <c r="N13" s="4" t="inlineStr">
        <is>
          <t>Área del cuerpo intervenida</t>
        </is>
      </c>
      <c r="O13" s="4" t="inlineStr">
        <is>
          <t>Observaciones / Comentarios</t>
        </is>
      </c>
      <c r="P13" s="4" t="inlineStr">
        <is>
          <t>Hora de inicio de anestesia</t>
        </is>
      </c>
      <c r="Q13" s="4" t="inlineStr">
        <is>
          <t>Hora de inicio de intervención (es)</t>
        </is>
      </c>
      <c r="R13" s="5" t="inlineStr">
        <is>
          <t>Hora de finalización de intervención quirúrgica</t>
        </is>
      </c>
      <c r="S13" s="5" t="inlineStr">
        <is>
          <t>Hora de finalización limpieza y preparación de quirófano</t>
        </is>
      </c>
      <c r="T13" s="5" t="inlineStr">
        <is>
          <t>Tiempo Intervención</t>
        </is>
      </c>
      <c r="U13" s="5" t="inlineStr">
        <is>
          <t>Tiempo Usado Quirófano</t>
        </is>
      </c>
      <c r="V13" s="5" t="inlineStr">
        <is>
          <t>Estado</t>
        </is>
      </c>
      <c r="W13" s="8" t="n"/>
      <c r="X13" s="8" t="n"/>
      <c r="AH13" t="inlineStr">
        <is>
          <t>Vaginal</t>
        </is>
      </c>
      <c r="AJ13" s="1" t="inlineStr">
        <is>
          <t>Cirugía Cardiovascular - Pericardiocentesis quirúrgica</t>
        </is>
      </c>
      <c r="AK13" t="inlineStr">
        <is>
          <t>R4</t>
        </is>
      </c>
      <c r="AM13" t="inlineStr">
        <is>
          <t>TOTAL_PROCEDIMIENTOS</t>
        </is>
      </c>
    </row>
    <row r="14" ht="15.75" customHeight="1">
      <c r="A14" s="23" t="n">
        <v>1</v>
      </c>
      <c r="B14" s="10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7" t="n"/>
      <c r="Q14" s="7" t="n"/>
      <c r="R14" s="7" t="n"/>
      <c r="S14" s="7" t="n"/>
      <c r="T14" s="7">
        <f>R14-Q14</f>
        <v/>
      </c>
      <c r="U14" s="7">
        <f>S14-Q14</f>
        <v/>
      </c>
      <c r="V14" s="1" t="n"/>
      <c r="W14" s="9">
        <f>S14-R14</f>
        <v/>
      </c>
      <c r="X14" s="9" t="n"/>
      <c r="Z14" s="26" t="inlineStr">
        <is>
          <t>Horas Activo</t>
        </is>
      </c>
      <c r="AA14" s="64" t="n"/>
      <c r="AB14" s="26" t="inlineStr">
        <is>
          <t>% de Uso Periodo</t>
        </is>
      </c>
      <c r="AC14" s="64" t="n"/>
      <c r="AD14" s="26" t="inlineStr">
        <is>
          <t>Tasa de Cancelación</t>
        </is>
      </c>
      <c r="AE14" s="64" t="n"/>
      <c r="AH14" t="inlineStr">
        <is>
          <t>Mixta</t>
        </is>
      </c>
      <c r="AJ14" s="1" t="inlineStr">
        <is>
          <t>Cirugía Cardiovascular - Reemplazo valvular</t>
        </is>
      </c>
      <c r="AM14">
        <f>_xlfn.TEXTJOIN(" + ", TRUE, I14:M14)</f>
        <v/>
      </c>
    </row>
    <row r="15" ht="15.75" customHeight="1">
      <c r="A15" s="23" t="n">
        <v>2</v>
      </c>
      <c r="B15" s="10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7" t="n"/>
      <c r="Q15" s="7" t="n"/>
      <c r="R15" s="7" t="n"/>
      <c r="S15" s="7" t="n"/>
      <c r="T15" s="7">
        <f>R15-Q15</f>
        <v/>
      </c>
      <c r="U15" s="7">
        <f>S15-Q15</f>
        <v/>
      </c>
      <c r="V15" s="1" t="n"/>
      <c r="W15" s="9">
        <f>S15-R15</f>
        <v/>
      </c>
      <c r="X15" s="9" t="n"/>
      <c r="Z15" s="35">
        <f>D10-D9</f>
        <v/>
      </c>
      <c r="AA15" s="64" t="n"/>
      <c r="AB15" s="65">
        <f>SUMIF(V14:V613,"Finalizada",U14:U613)/Z18</f>
        <v/>
      </c>
      <c r="AC15" s="64" t="n"/>
      <c r="AD15" s="40">
        <f>AB22/(Z22+AB22)</f>
        <v/>
      </c>
      <c r="AE15" s="64" t="n"/>
      <c r="AH15" t="inlineStr">
        <is>
          <t>Otro</t>
        </is>
      </c>
      <c r="AJ15" s="1" t="inlineStr">
        <is>
          <t>Cirugía Cardiovascular - Reparación de aneurismas</t>
        </is>
      </c>
      <c r="AM15">
        <f>_xlfn.TEXTJOIN(" + ", TRUE, I15:M15)</f>
        <v/>
      </c>
    </row>
    <row r="16" ht="15.75" customHeight="1">
      <c r="A16" s="23" t="n">
        <v>3</v>
      </c>
      <c r="B16" s="10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7" t="n"/>
      <c r="Q16" s="7" t="n"/>
      <c r="R16" s="7" t="n"/>
      <c r="S16" s="7" t="n"/>
      <c r="T16" s="7">
        <f>R16-Q16</f>
        <v/>
      </c>
      <c r="U16" s="7">
        <f>S16-Q16</f>
        <v/>
      </c>
      <c r="V16" s="1" t="n"/>
      <c r="W16" s="9">
        <f>S16-R16</f>
        <v/>
      </c>
      <c r="X16" s="9" t="n"/>
      <c r="Z16" s="16" t="n"/>
      <c r="AA16" s="16" t="n"/>
      <c r="AB16" s="16" t="n"/>
      <c r="AC16" s="16" t="n"/>
      <c r="AD16" s="16" t="n"/>
      <c r="AE16" s="16" t="n"/>
      <c r="AJ16" s="1" t="inlineStr">
        <is>
          <t>Cirugía Cardiovascular - Reparación valvular</t>
        </is>
      </c>
      <c r="AM16">
        <f>_xlfn.TEXTJOIN(" + ", TRUE, I16:M16)</f>
        <v/>
      </c>
    </row>
    <row r="17" ht="15.75" customHeight="1">
      <c r="A17" s="23" t="n">
        <v>4</v>
      </c>
      <c r="B17" s="1" t="n"/>
      <c r="C17" s="23" t="n"/>
      <c r="D17" s="23" t="n"/>
      <c r="E17" s="23" t="n"/>
      <c r="F17" s="23" t="n"/>
      <c r="G17" s="1" t="n"/>
      <c r="H17" s="1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7" t="n"/>
      <c r="R17" s="7" t="n"/>
      <c r="S17" s="7" t="n"/>
      <c r="T17" s="7">
        <f>R17-Q17</f>
        <v/>
      </c>
      <c r="U17" s="7">
        <f>S17-Q17</f>
        <v/>
      </c>
      <c r="V17" s="1" t="n"/>
      <c r="W17" s="9">
        <f>S17-R17</f>
        <v/>
      </c>
      <c r="X17" s="9" t="n"/>
      <c r="Z17" s="26" t="inlineStr">
        <is>
          <t>Horas Activo Periodo</t>
        </is>
      </c>
      <c r="AA17" s="64" t="n"/>
      <c r="AB17" s="37" t="n"/>
      <c r="AD17" s="37" t="n"/>
      <c r="AJ17" s="1" t="inlineStr">
        <is>
          <t>Cirugía Cardiovascular - Trasplante cardíaco</t>
        </is>
      </c>
      <c r="AM17">
        <f>_xlfn.TEXTJOIN(" + ", TRUE, I17:M17)</f>
        <v/>
      </c>
    </row>
    <row r="18" ht="15.75" customHeight="1">
      <c r="A18" s="23" t="n">
        <v>5</v>
      </c>
      <c r="B18" s="1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7" t="n"/>
      <c r="R18" s="7" t="n"/>
      <c r="S18" s="7" t="n"/>
      <c r="T18" s="7">
        <f>R18-Q18</f>
        <v/>
      </c>
      <c r="U18" s="7">
        <f>S18-Q18</f>
        <v/>
      </c>
      <c r="V18" s="1" t="n"/>
      <c r="W18" s="9">
        <f>S18-R18</f>
        <v/>
      </c>
      <c r="X18" s="9" t="n"/>
      <c r="Z18" s="38">
        <f>(D10-D9)*D11</f>
        <v/>
      </c>
      <c r="AA18" s="64" t="n"/>
      <c r="AB18" s="39" t="n"/>
      <c r="AD18" s="39" t="n"/>
      <c r="AJ18" s="1" t="inlineStr">
        <is>
          <t>Cirugía de Emergencia - Amputación de urgencia</t>
        </is>
      </c>
      <c r="AM18">
        <f>_xlfn.TEXTJOIN(" + ", TRUE, I18:M18)</f>
        <v/>
      </c>
    </row>
    <row r="19" ht="15.75" customHeight="1">
      <c r="A19" s="23" t="n">
        <v>6</v>
      </c>
      <c r="B19" s="1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7">
        <f>R19-Q19</f>
        <v/>
      </c>
      <c r="U19" s="7">
        <f>S19-Q19</f>
        <v/>
      </c>
      <c r="V19" s="1" t="n"/>
      <c r="W19" s="9">
        <f>S19-R19</f>
        <v/>
      </c>
      <c r="X19" s="9" t="n"/>
      <c r="Z19" s="16" t="n"/>
      <c r="AA19" s="16" t="n"/>
      <c r="AB19" s="16" t="n"/>
      <c r="AC19" s="16" t="n"/>
      <c r="AD19" s="16" t="n"/>
      <c r="AE19" s="16" t="n"/>
      <c r="AJ19" s="1" t="inlineStr">
        <is>
          <t>Cirugía de Emergencia - Cesárea de emergencia</t>
        </is>
      </c>
      <c r="AM19">
        <f>_xlfn.TEXTJOIN(" + ", TRUE, I19:M19)</f>
        <v/>
      </c>
    </row>
    <row r="20" ht="15.75" customHeight="1">
      <c r="A20" s="23" t="n">
        <v>7</v>
      </c>
      <c r="B20" s="1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7">
        <f>R20-Q20</f>
        <v/>
      </c>
      <c r="U20" s="7">
        <f>S20-Q20</f>
        <v/>
      </c>
      <c r="V20" s="1" t="n"/>
      <c r="W20" s="9">
        <f>S20-R20</f>
        <v/>
      </c>
      <c r="X20" s="9" t="n"/>
      <c r="Z20" s="16" t="n"/>
      <c r="AA20" s="16" t="n"/>
      <c r="AB20" s="16" t="n"/>
      <c r="AC20" s="16" t="n"/>
      <c r="AD20" s="16" t="n"/>
      <c r="AE20" s="16" t="n"/>
      <c r="AJ20" s="1" t="inlineStr">
        <is>
          <t>Cirugía de Emergencia - Control de daños</t>
        </is>
      </c>
      <c r="AM20">
        <f>_xlfn.TEXTJOIN(" + ", TRUE, I20:M20)</f>
        <v/>
      </c>
    </row>
    <row r="21" ht="15.75" customHeight="1">
      <c r="A21" s="23" t="n">
        <v>8</v>
      </c>
      <c r="B21" s="1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7">
        <f>R21-Q21</f>
        <v/>
      </c>
      <c r="U21" s="7">
        <f>S21-Q21</f>
        <v/>
      </c>
      <c r="V21" s="1" t="n"/>
      <c r="W21" s="9">
        <f>S21-R21</f>
        <v/>
      </c>
      <c r="X21" s="9" t="n"/>
      <c r="Z21" s="24" t="inlineStr">
        <is>
          <t>Finalizadas</t>
        </is>
      </c>
      <c r="AA21" s="64" t="n"/>
      <c r="AB21" s="25" t="inlineStr">
        <is>
          <t>Canceladas</t>
        </is>
      </c>
      <c r="AC21" s="64" t="n"/>
      <c r="AD21" s="43" t="n"/>
      <c r="AJ21" s="1" t="inlineStr">
        <is>
          <t>Cirugía de Emergencia - Control de hemorragias</t>
        </is>
      </c>
      <c r="AM21">
        <f>_xlfn.TEXTJOIN(" + ", TRUE, I21:M21)</f>
        <v/>
      </c>
    </row>
    <row r="22" ht="15.75" customHeight="1">
      <c r="A22" s="23" t="n">
        <v>9</v>
      </c>
      <c r="B22" s="1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7">
        <f>R22-Q22</f>
        <v/>
      </c>
      <c r="U22" s="7">
        <f>S22-Q22</f>
        <v/>
      </c>
      <c r="V22" s="1" t="n"/>
      <c r="W22" s="9">
        <f>S22-R22</f>
        <v/>
      </c>
      <c r="X22" s="9" t="n"/>
      <c r="Z22" s="44">
        <f>COUNTIF($V$14:$V$613,"Finalizada")</f>
        <v/>
      </c>
      <c r="AA22" s="64" t="n"/>
      <c r="AB22" s="44">
        <f>COUNTIF($V$14:$V$613,"Cancelada")</f>
        <v/>
      </c>
      <c r="AC22" s="64" t="n"/>
      <c r="AD22" s="43" t="n"/>
      <c r="AJ22" s="1" t="inlineStr">
        <is>
          <t>Cirugía de Emergencia - Craniectomía descompresiva</t>
        </is>
      </c>
      <c r="AM22">
        <f>_xlfn.TEXTJOIN(" + ", TRUE, I22:M22)</f>
        <v/>
      </c>
    </row>
    <row r="23" ht="15.75" customHeight="1">
      <c r="A23" s="23" t="n">
        <v>10</v>
      </c>
      <c r="B23" s="1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7">
        <f>R23-Q23</f>
        <v/>
      </c>
      <c r="U23" s="7">
        <f>S23-Q23</f>
        <v/>
      </c>
      <c r="V23" s="1" t="n"/>
      <c r="W23" s="9">
        <f>S23-R23</f>
        <v/>
      </c>
      <c r="X23" s="9" t="n"/>
      <c r="Z23" s="16" t="n"/>
      <c r="AA23" s="16" t="n"/>
      <c r="AB23" s="16" t="n"/>
      <c r="AC23" s="16" t="n"/>
      <c r="AD23" s="16" t="n"/>
      <c r="AE23" s="16" t="n"/>
      <c r="AJ23" s="1" t="inlineStr">
        <is>
          <t>Cirugía de Emergencia - Desbridamiento de tejidos infectados</t>
        </is>
      </c>
      <c r="AM23">
        <f>_xlfn.TEXTJOIN(" + ", TRUE, I23:M23)</f>
        <v/>
      </c>
    </row>
    <row r="24" ht="15.75" customHeight="1">
      <c r="A24" s="23" t="n">
        <v>11</v>
      </c>
      <c r="B24" s="1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7">
        <f>R24-Q24</f>
        <v/>
      </c>
      <c r="U24" s="7">
        <f>S24-Q24</f>
        <v/>
      </c>
      <c r="V24" s="1" t="n"/>
      <c r="W24" s="9">
        <f>S24-R24</f>
        <v/>
      </c>
      <c r="X24" s="9" t="n"/>
      <c r="Z24" s="34" t="inlineStr">
        <is>
          <t>Total</t>
        </is>
      </c>
      <c r="AA24" s="63" t="n"/>
      <c r="AB24" s="63" t="n"/>
      <c r="AC24" s="63" t="n"/>
      <c r="AD24" s="63" t="n"/>
      <c r="AE24" s="64" t="n"/>
      <c r="AJ24" s="1" t="inlineStr">
        <is>
          <t>Cirugía de Emergencia - Drenaje de abscesos profundos</t>
        </is>
      </c>
      <c r="AM24">
        <f>_xlfn.TEXTJOIN(" + ", TRUE, I24:M24)</f>
        <v/>
      </c>
    </row>
    <row r="25" ht="15.75" customHeight="1">
      <c r="A25" s="23" t="n">
        <v>12</v>
      </c>
      <c r="B25" s="1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7">
        <f>R25-Q25</f>
        <v/>
      </c>
      <c r="U25" s="7">
        <f>S25-Q25</f>
        <v/>
      </c>
      <c r="V25" s="1" t="n"/>
      <c r="W25" s="9">
        <f>S25-R25</f>
        <v/>
      </c>
      <c r="X25" s="9" t="n"/>
      <c r="Y25" t="inlineStr">
        <is>
          <t>                                                                                                                                                                                                                         </t>
        </is>
      </c>
      <c r="Z25" s="42">
        <f>COUNTA(V14:V613)</f>
        <v/>
      </c>
      <c r="AA25" s="63" t="n"/>
      <c r="AB25" s="63" t="n"/>
      <c r="AC25" s="63" t="n"/>
      <c r="AD25" s="63" t="n"/>
      <c r="AE25" s="64" t="n"/>
      <c r="AJ25" s="1" t="inlineStr">
        <is>
          <t>Cirugía de Emergencia - Fasciotomía urgente</t>
        </is>
      </c>
      <c r="AM25">
        <f>_xlfn.TEXTJOIN(" + ", TRUE, I25:M25)</f>
        <v/>
      </c>
    </row>
    <row r="26" ht="15.75" customHeight="1">
      <c r="A26" s="23" t="n">
        <v>13</v>
      </c>
      <c r="B26" s="1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7">
        <f>R26-Q26</f>
        <v/>
      </c>
      <c r="U26" s="7">
        <f>S26-Q26</f>
        <v/>
      </c>
      <c r="V26" s="1" t="n"/>
      <c r="W26" s="9">
        <f>S26-R26</f>
        <v/>
      </c>
      <c r="X26" s="9" t="n"/>
      <c r="Z26" s="16" t="n"/>
      <c r="AA26" s="16" t="n"/>
      <c r="AB26" s="16" t="n"/>
      <c r="AC26" s="16" t="n"/>
      <c r="AD26" s="16" t="n"/>
      <c r="AE26" s="16" t="n"/>
      <c r="AJ26" s="1" t="inlineStr">
        <is>
          <t>Cirugía de Emergencia - Laparotomía de urgencia</t>
        </is>
      </c>
      <c r="AM26">
        <f>_xlfn.TEXTJOIN(" + ", TRUE, I26:M26)</f>
        <v/>
      </c>
    </row>
    <row r="27" ht="15.75" customHeight="1">
      <c r="A27" s="23" t="n">
        <v>14</v>
      </c>
      <c r="B27" s="1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7">
        <f>R27-Q27</f>
        <v/>
      </c>
      <c r="U27" s="7">
        <f>S27-Q27</f>
        <v/>
      </c>
      <c r="V27" s="1" t="n"/>
      <c r="W27" s="9">
        <f>S27-R27</f>
        <v/>
      </c>
      <c r="X27" s="9" t="n"/>
      <c r="Z27" s="16" t="n"/>
      <c r="AA27" s="16" t="n"/>
      <c r="AB27" s="16" t="n"/>
      <c r="AC27" s="16" t="n"/>
      <c r="AD27" s="16" t="n"/>
      <c r="AE27" s="16" t="n"/>
      <c r="AJ27" s="1" t="inlineStr">
        <is>
          <t>Cirugía de Emergencia - Toracotomía de emergencia</t>
        </is>
      </c>
      <c r="AM27">
        <f>_xlfn.TEXTJOIN(" + ", TRUE, I27:M27)</f>
        <v/>
      </c>
    </row>
    <row r="28" ht="15.75" customHeight="1">
      <c r="A28" s="23" t="n">
        <v>15</v>
      </c>
      <c r="B28" s="1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7">
        <f>R28-Q28</f>
        <v/>
      </c>
      <c r="U28" s="7">
        <f>S28-Q28</f>
        <v/>
      </c>
      <c r="V28" s="1" t="n"/>
      <c r="W28" s="9">
        <f>S28-R28</f>
        <v/>
      </c>
      <c r="X28" s="9" t="n"/>
      <c r="Z28" s="41" t="inlineStr">
        <is>
          <t>Tiempo Promedio Intervención</t>
        </is>
      </c>
      <c r="AA28" s="63" t="n"/>
      <c r="AB28" s="64" t="n"/>
      <c r="AC28" s="41" t="inlineStr">
        <is>
          <t>Tiempo Promedio Limpieza y Preparación</t>
        </is>
      </c>
      <c r="AD28" s="63" t="n"/>
      <c r="AE28" s="64" t="n"/>
      <c r="AJ28" s="1" t="inlineStr">
        <is>
          <t>Cirugía General -  (VAC) Cambio de terapia de presión negativa</t>
        </is>
      </c>
      <c r="AM28">
        <f>_xlfn.TEXTJOIN(" + ", TRUE, I28:M28)</f>
        <v/>
      </c>
    </row>
    <row r="29" ht="15.75" customHeight="1">
      <c r="A29" s="23" t="n">
        <v>16</v>
      </c>
      <c r="B29" s="1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7">
        <f>R29-Q29</f>
        <v/>
      </c>
      <c r="U29" s="7">
        <f>S29-Q29</f>
        <v/>
      </c>
      <c r="V29" s="1" t="n"/>
      <c r="W29" s="9">
        <f>S29-R29</f>
        <v/>
      </c>
      <c r="X29" s="9" t="n"/>
      <c r="Z29" s="35">
        <f>AVERAGEIF(T14:T613,"&lt;&gt;0")</f>
        <v/>
      </c>
      <c r="AA29" s="63" t="n"/>
      <c r="AB29" s="64" t="n"/>
      <c r="AC29" s="35">
        <f>AVERAGEIF(W14:W613,"&lt;&gt;0")</f>
        <v/>
      </c>
      <c r="AD29" s="63" t="n"/>
      <c r="AE29" s="64" t="n"/>
      <c r="AJ29" s="1" t="inlineStr">
        <is>
          <t>Cirugía General - (VAC) Colocación de terapia de presión negativa</t>
        </is>
      </c>
      <c r="AM29">
        <f>_xlfn.TEXTJOIN(" + ", TRUE, I29:M29)</f>
        <v/>
      </c>
    </row>
    <row r="30" ht="15.75" customHeight="1">
      <c r="A30" s="23" t="n">
        <v>17</v>
      </c>
      <c r="B30" s="1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7">
        <f>R30-Q30</f>
        <v/>
      </c>
      <c r="U30" s="7">
        <f>S30-Q30</f>
        <v/>
      </c>
      <c r="V30" s="1" t="n"/>
      <c r="W30" s="9">
        <f>S30-R30</f>
        <v/>
      </c>
      <c r="X30" s="9" t="n"/>
      <c r="Z30" s="16" t="n"/>
      <c r="AA30" s="16" t="n"/>
      <c r="AB30" s="16" t="n"/>
      <c r="AC30" s="16" t="n"/>
      <c r="AD30" s="16" t="n"/>
      <c r="AE30" s="16" t="n"/>
      <c r="AJ30" s="1" t="inlineStr">
        <is>
          <t xml:space="preserve">Cirugía General - (VAC) Retiro de terapia de presión negativa </t>
        </is>
      </c>
      <c r="AM30">
        <f>_xlfn.TEXTJOIN(" + ", TRUE, I30:M30)</f>
        <v/>
      </c>
    </row>
    <row r="31" ht="15.75" customHeight="1">
      <c r="A31" s="23" t="n">
        <v>18</v>
      </c>
      <c r="B31" s="1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7">
        <f>R31-Q31</f>
        <v/>
      </c>
      <c r="U31" s="7">
        <f>S31-Q31</f>
        <v/>
      </c>
      <c r="V31" s="1" t="n"/>
      <c r="W31" s="9">
        <f>S31-R31</f>
        <v/>
      </c>
      <c r="X31" s="9" t="n"/>
      <c r="Z31" s="41" t="inlineStr">
        <is>
          <t>Tiempo Promedio Proceso Completo</t>
        </is>
      </c>
      <c r="AA31" s="63" t="n"/>
      <c r="AB31" s="63" t="n"/>
      <c r="AC31" s="63" t="n"/>
      <c r="AD31" s="63" t="n"/>
      <c r="AE31" s="64" t="n"/>
      <c r="AJ31" s="1" t="inlineStr">
        <is>
          <t>Cirugía General - Adhesiolisis</t>
        </is>
      </c>
      <c r="AM31">
        <f>_xlfn.TEXTJOIN(" + ", TRUE, I31:M31)</f>
        <v/>
      </c>
    </row>
    <row r="32" ht="15.75" customHeight="1">
      <c r="A32" s="23" t="n">
        <v>19</v>
      </c>
      <c r="B32" s="1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7">
        <f>R32-Q32</f>
        <v/>
      </c>
      <c r="U32" s="7">
        <f>S32-Q32</f>
        <v/>
      </c>
      <c r="V32" s="1" t="n"/>
      <c r="W32" s="9">
        <f>S32-R32</f>
        <v/>
      </c>
      <c r="X32" s="9" t="n"/>
      <c r="Z32" s="35">
        <f>AVERAGEIF(U14:U613,"&lt;&gt;0")</f>
        <v/>
      </c>
      <c r="AA32" s="63" t="n"/>
      <c r="AB32" s="63" t="n"/>
      <c r="AC32" s="63" t="n"/>
      <c r="AD32" s="63" t="n"/>
      <c r="AE32" s="64" t="n"/>
      <c r="AJ32" s="1" t="inlineStr">
        <is>
          <t>Cirugía General - Amputación</t>
        </is>
      </c>
      <c r="AM32">
        <f>_xlfn.TEXTJOIN(" + ", TRUE, I32:M32)</f>
        <v/>
      </c>
    </row>
    <row r="33">
      <c r="A33" s="23" t="n">
        <v>20</v>
      </c>
      <c r="B33" s="1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7">
        <f>R33-Q33</f>
        <v/>
      </c>
      <c r="U33" s="7">
        <f>S33-Q33</f>
        <v/>
      </c>
      <c r="V33" s="1" t="n"/>
      <c r="W33" s="9">
        <f>S33-R33</f>
        <v/>
      </c>
      <c r="X33" s="9" t="n"/>
      <c r="AJ33" s="1" t="inlineStr">
        <is>
          <t>Cirugía General - Anastomosis intestinal</t>
        </is>
      </c>
      <c r="AM33">
        <f>_xlfn.TEXTJOIN(" + ", TRUE, I33:M33)</f>
        <v/>
      </c>
    </row>
    <row r="34">
      <c r="A34" s="23" t="n">
        <v>21</v>
      </c>
      <c r="B34" s="1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7">
        <f>R34-Q34</f>
        <v/>
      </c>
      <c r="U34" s="7">
        <f>S34-Q34</f>
        <v/>
      </c>
      <c r="V34" s="1" t="n"/>
      <c r="W34" s="9">
        <f>S34-R34</f>
        <v/>
      </c>
      <c r="X34" s="9" t="n"/>
      <c r="AJ34" s="1" t="inlineStr">
        <is>
          <t>Cirugía General - Apendicectomía</t>
        </is>
      </c>
      <c r="AM34">
        <f>_xlfn.TEXTJOIN(" + ", TRUE, I34:M34)</f>
        <v/>
      </c>
    </row>
    <row r="35">
      <c r="A35" s="23" t="n">
        <v>22</v>
      </c>
      <c r="B35" s="1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7">
        <f>R35-Q35</f>
        <v/>
      </c>
      <c r="U35" s="7">
        <f>S35-Q35</f>
        <v/>
      </c>
      <c r="V35" s="1" t="n"/>
      <c r="W35" s="9">
        <f>S35-R35</f>
        <v/>
      </c>
      <c r="X35" s="9" t="n"/>
      <c r="AJ35" s="1" t="inlineStr">
        <is>
          <t>Cirugía General - Biopsia excisional</t>
        </is>
      </c>
      <c r="AM35">
        <f>_xlfn.TEXTJOIN(" + ", TRUE, I35:M35)</f>
        <v/>
      </c>
    </row>
    <row r="36">
      <c r="A36" s="23" t="n">
        <v>23</v>
      </c>
      <c r="B36" s="1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7">
        <f>R36-Q36</f>
        <v/>
      </c>
      <c r="U36" s="7">
        <f>S36-Q36</f>
        <v/>
      </c>
      <c r="V36" s="1" t="n"/>
      <c r="W36" s="9">
        <f>S36-R36</f>
        <v/>
      </c>
      <c r="X36" s="9" t="n"/>
      <c r="AJ36" s="1" t="inlineStr">
        <is>
          <t>Cirugía General - Biopsia quirúrgica</t>
        </is>
      </c>
      <c r="AM36">
        <f>_xlfn.TEXTJOIN(" + ", TRUE, I36:M36)</f>
        <v/>
      </c>
    </row>
    <row r="37">
      <c r="A37" s="23" t="n">
        <v>24</v>
      </c>
      <c r="B37" s="1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7">
        <f>R37-Q37</f>
        <v/>
      </c>
      <c r="U37" s="7">
        <f>S37-Q37</f>
        <v/>
      </c>
      <c r="V37" s="1" t="n"/>
      <c r="W37" s="9">
        <f>S37-R37</f>
        <v/>
      </c>
      <c r="X37" s="9" t="n"/>
      <c r="AJ37" s="1" t="inlineStr">
        <is>
          <t>Cirugía General - Bypass gástrico</t>
        </is>
      </c>
      <c r="AM37">
        <f>_xlfn.TEXTJOIN(" + ", TRUE, I37:M37)</f>
        <v/>
      </c>
    </row>
    <row r="38">
      <c r="A38" s="23" t="n">
        <v>25</v>
      </c>
      <c r="B38" s="1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7">
        <f>R38-Q38</f>
        <v/>
      </c>
      <c r="U38" s="7">
        <f>S38-Q38</f>
        <v/>
      </c>
      <c r="V38" s="1" t="n"/>
      <c r="W38" s="9">
        <f>S38-R38</f>
        <v/>
      </c>
      <c r="X38" s="9" t="n"/>
      <c r="AJ38" s="1" t="inlineStr">
        <is>
          <t>Cirugía General - Cierre de herida</t>
        </is>
      </c>
      <c r="AM38">
        <f>_xlfn.TEXTJOIN(" + ", TRUE, I38:M38)</f>
        <v/>
      </c>
    </row>
    <row r="39">
      <c r="A39" s="23" t="n">
        <v>26</v>
      </c>
      <c r="B39" s="1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7">
        <f>R39-Q39</f>
        <v/>
      </c>
      <c r="U39" s="7">
        <f>S39-Q39</f>
        <v/>
      </c>
      <c r="V39" s="1" t="n"/>
      <c r="W39" s="9">
        <f>S39-R39</f>
        <v/>
      </c>
      <c r="X39" s="9" t="n"/>
      <c r="AJ39" s="1" t="inlineStr">
        <is>
          <t>Cirugía General - Cierre de ostomías</t>
        </is>
      </c>
      <c r="AM39">
        <f>_xlfn.TEXTJOIN(" + ", TRUE, I39:M39)</f>
        <v/>
      </c>
    </row>
    <row r="40">
      <c r="A40" s="23" t="n">
        <v>27</v>
      </c>
      <c r="B40" s="1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7">
        <f>R40-Q40</f>
        <v/>
      </c>
      <c r="U40" s="7">
        <f>S40-Q40</f>
        <v/>
      </c>
      <c r="V40" s="1" t="n"/>
      <c r="W40" s="9">
        <f>S40-R40</f>
        <v/>
      </c>
      <c r="X40" s="9" t="n"/>
      <c r="Z40" s="19" t="n"/>
      <c r="AJ40" s="1" t="inlineStr">
        <is>
          <t>Cirugía General - Cirugía de diverticulitis</t>
        </is>
      </c>
      <c r="AM40">
        <f>_xlfn.TEXTJOIN(" + ", TRUE, I40:M40)</f>
        <v/>
      </c>
    </row>
    <row r="41">
      <c r="A41" s="23" t="n">
        <v>28</v>
      </c>
      <c r="B41" s="1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7">
        <f>R41-Q41</f>
        <v/>
      </c>
      <c r="U41" s="7">
        <f>S41-Q41</f>
        <v/>
      </c>
      <c r="V41" s="1" t="n"/>
      <c r="W41" s="9">
        <f>S41-R41</f>
        <v/>
      </c>
      <c r="X41" s="9" t="n"/>
      <c r="Z41" s="9" t="n"/>
      <c r="AJ41" s="1" t="inlineStr">
        <is>
          <t>Cirugía General - Cirugía de quistes hepáticos</t>
        </is>
      </c>
      <c r="AM41">
        <f>_xlfn.TEXTJOIN(" + ", TRUE, I41:M41)</f>
        <v/>
      </c>
    </row>
    <row r="42">
      <c r="A42" s="23" t="n">
        <v>29</v>
      </c>
      <c r="B42" s="1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7">
        <f>R42-Q42</f>
        <v/>
      </c>
      <c r="U42" s="7">
        <f>S42-Q42</f>
        <v/>
      </c>
      <c r="V42" s="1" t="n"/>
      <c r="W42" s="9">
        <f>S42-R42</f>
        <v/>
      </c>
      <c r="X42" s="9" t="n"/>
      <c r="AJ42" s="1" t="inlineStr">
        <is>
          <t>Cirugía General - Cirugía de quistes sebáceos</t>
        </is>
      </c>
      <c r="AM42">
        <f>_xlfn.TEXTJOIN(" + ", TRUE, I42:M42)</f>
        <v/>
      </c>
    </row>
    <row r="43">
      <c r="A43" s="23" t="n">
        <v>30</v>
      </c>
      <c r="B43" s="1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7">
        <f>R43-Q43</f>
        <v/>
      </c>
      <c r="U43" s="7">
        <f>S43-Q43</f>
        <v/>
      </c>
      <c r="V43" s="1" t="n"/>
      <c r="W43" s="9">
        <f>S43-R43</f>
        <v/>
      </c>
      <c r="X43" s="9" t="n"/>
      <c r="AJ43" s="1" t="inlineStr">
        <is>
          <t>Cirugía General - Cirugía de tiroides</t>
        </is>
      </c>
      <c r="AM43">
        <f>_xlfn.TEXTJOIN(" + ", TRUE, I43:M43)</f>
        <v/>
      </c>
    </row>
    <row r="44">
      <c r="A44" s="23" t="n">
        <v>31</v>
      </c>
      <c r="B44" s="1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7">
        <f>R44-Q44</f>
        <v/>
      </c>
      <c r="U44" s="7">
        <f>S44-Q44</f>
        <v/>
      </c>
      <c r="V44" s="1" t="n"/>
      <c r="W44" s="9">
        <f>S44-R44</f>
        <v/>
      </c>
      <c r="X44" s="9" t="n"/>
      <c r="AJ44" s="1" t="inlineStr">
        <is>
          <t>Cirugía General - Colecistectomía</t>
        </is>
      </c>
      <c r="AM44">
        <f>_xlfn.TEXTJOIN(" + ", TRUE, I44:M44)</f>
        <v/>
      </c>
    </row>
    <row r="45">
      <c r="A45" s="23" t="n">
        <v>32</v>
      </c>
      <c r="B45" s="1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7">
        <f>R45-Q45</f>
        <v/>
      </c>
      <c r="U45" s="7">
        <f>S45-Q45</f>
        <v/>
      </c>
      <c r="V45" s="1" t="n"/>
      <c r="W45" s="9">
        <f>S45-R45</f>
        <v/>
      </c>
      <c r="X45" s="9" t="n"/>
      <c r="AJ45" s="1" t="inlineStr">
        <is>
          <t>Cirugía General - Colectomía</t>
        </is>
      </c>
      <c r="AM45">
        <f>_xlfn.TEXTJOIN(" + ", TRUE, I45:M45)</f>
        <v/>
      </c>
    </row>
    <row r="46">
      <c r="A46" s="23" t="n">
        <v>33</v>
      </c>
      <c r="B46" s="1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7">
        <f>R46-Q46</f>
        <v/>
      </c>
      <c r="U46" s="7">
        <f>S46-Q46</f>
        <v/>
      </c>
      <c r="V46" s="1" t="n"/>
      <c r="W46" s="9">
        <f>S46-R46</f>
        <v/>
      </c>
      <c r="X46" s="9" t="n"/>
      <c r="AJ46" s="1" t="inlineStr">
        <is>
          <t>Cirugía General - Colostomía</t>
        </is>
      </c>
      <c r="AM46">
        <f>_xlfn.TEXTJOIN(" + ", TRUE, I46:M46)</f>
        <v/>
      </c>
    </row>
    <row r="47">
      <c r="A47" s="23" t="n">
        <v>34</v>
      </c>
      <c r="B47" s="1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7">
        <f>R47-Q47</f>
        <v/>
      </c>
      <c r="U47" s="7">
        <f>S47-Q47</f>
        <v/>
      </c>
      <c r="V47" s="1" t="n"/>
      <c r="W47" s="9">
        <f>S47-R47</f>
        <v/>
      </c>
      <c r="X47" s="9" t="n"/>
      <c r="AJ47" s="1" t="inlineStr">
        <is>
          <t>Cirugía General - Debridamiento quirúrgico</t>
        </is>
      </c>
      <c r="AM47">
        <f>_xlfn.TEXTJOIN(" + ", TRUE, I47:M47)</f>
        <v/>
      </c>
    </row>
    <row r="48">
      <c r="A48" s="23" t="n">
        <v>35</v>
      </c>
      <c r="B48" s="1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7">
        <f>R48-Q48</f>
        <v/>
      </c>
      <c r="U48" s="7">
        <f>S48-Q48</f>
        <v/>
      </c>
      <c r="V48" s="1" t="n"/>
      <c r="W48" s="9">
        <f>S48-R48</f>
        <v/>
      </c>
      <c r="X48" s="9" t="n"/>
      <c r="AJ48" s="1" t="inlineStr">
        <is>
          <t>Cirugía General - Dedo en gatillo</t>
        </is>
      </c>
      <c r="AM48">
        <f>_xlfn.TEXTJOIN(" + ", TRUE, I48:M48)</f>
        <v/>
      </c>
    </row>
    <row r="49">
      <c r="A49" s="23" t="n">
        <v>36</v>
      </c>
      <c r="B49" s="1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7">
        <f>R49-Q49</f>
        <v/>
      </c>
      <c r="U49" s="7">
        <f>S49-Q49</f>
        <v/>
      </c>
      <c r="V49" s="1" t="n"/>
      <c r="W49" s="9">
        <f>S49-R49</f>
        <v/>
      </c>
      <c r="X49" s="9" t="n"/>
      <c r="AJ49" s="1" t="inlineStr">
        <is>
          <t>Cirugía General - Drenaje biliar</t>
        </is>
      </c>
      <c r="AM49">
        <f>_xlfn.TEXTJOIN(" + ", TRUE, I49:M49)</f>
        <v/>
      </c>
    </row>
    <row r="50">
      <c r="A50" s="23" t="n">
        <v>37</v>
      </c>
      <c r="B50" s="1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7">
        <f>R50-Q50</f>
        <v/>
      </c>
      <c r="U50" s="7">
        <f>S50-Q50</f>
        <v/>
      </c>
      <c r="V50" s="1" t="n"/>
      <c r="W50" s="9">
        <f>S50-R50</f>
        <v/>
      </c>
      <c r="X50" s="9" t="n"/>
      <c r="AJ50" s="1" t="inlineStr">
        <is>
          <t>Cirugía General - Enterectomía</t>
        </is>
      </c>
      <c r="AM50">
        <f>_xlfn.TEXTJOIN(" + ", TRUE, I50:M50)</f>
        <v/>
      </c>
    </row>
    <row r="51">
      <c r="A51" s="23" t="n">
        <v>38</v>
      </c>
      <c r="B51" s="1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7">
        <f>R51-Q51</f>
        <v/>
      </c>
      <c r="U51" s="7">
        <f>S51-Q51</f>
        <v/>
      </c>
      <c r="V51" s="1" t="n"/>
      <c r="W51" s="9">
        <f>S51-R51</f>
        <v/>
      </c>
      <c r="X51" s="9" t="n"/>
      <c r="AJ51" s="1" t="inlineStr">
        <is>
          <t>Cirugía General - Esplenectomía</t>
        </is>
      </c>
      <c r="AM51">
        <f>_xlfn.TEXTJOIN(" + ", TRUE, I51:M51)</f>
        <v/>
      </c>
    </row>
    <row r="52">
      <c r="A52" s="23" t="n">
        <v>39</v>
      </c>
      <c r="B52" s="1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7">
        <f>R52-Q52</f>
        <v/>
      </c>
      <c r="U52" s="7">
        <f>S52-Q52</f>
        <v/>
      </c>
      <c r="V52" s="1" t="n"/>
      <c r="W52" s="9">
        <f>S52-R52</f>
        <v/>
      </c>
      <c r="X52" s="9" t="n"/>
      <c r="AJ52" s="1" t="inlineStr">
        <is>
          <t>Cirugía General - Eventrorrafia</t>
        </is>
      </c>
      <c r="AM52">
        <f>_xlfn.TEXTJOIN(" + ", TRUE, I52:M52)</f>
        <v/>
      </c>
    </row>
    <row r="53">
      <c r="A53" s="23" t="n">
        <v>40</v>
      </c>
      <c r="B53" s="1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7">
        <f>R53-Q53</f>
        <v/>
      </c>
      <c r="U53" s="7">
        <f>S53-Q53</f>
        <v/>
      </c>
      <c r="V53" s="1" t="n"/>
      <c r="W53" s="9">
        <f>S53-R53</f>
        <v/>
      </c>
      <c r="X53" s="9" t="n"/>
      <c r="AJ53" s="1" t="inlineStr">
        <is>
          <t>Cirugía General - Fistulectomía</t>
        </is>
      </c>
      <c r="AM53">
        <f>_xlfn.TEXTJOIN(" + ", TRUE, I53:M53)</f>
        <v/>
      </c>
    </row>
    <row r="54">
      <c r="A54" s="23" t="n">
        <v>41</v>
      </c>
      <c r="B54" s="1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7">
        <f>R54-Q54</f>
        <v/>
      </c>
      <c r="U54" s="7">
        <f>S54-Q54</f>
        <v/>
      </c>
      <c r="V54" s="1" t="n"/>
      <c r="W54" s="9">
        <f>S54-R54</f>
        <v/>
      </c>
      <c r="X54" s="9" t="n"/>
      <c r="AJ54" s="1" t="inlineStr">
        <is>
          <t>Cirugía General - Fisurotomía</t>
        </is>
      </c>
      <c r="AM54">
        <f>_xlfn.TEXTJOIN(" + ", TRUE, I54:M54)</f>
        <v/>
      </c>
    </row>
    <row r="55">
      <c r="A55" s="23" t="n">
        <v>42</v>
      </c>
      <c r="B55" s="1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7">
        <f>R55-Q55</f>
        <v/>
      </c>
      <c r="U55" s="7">
        <f>S55-Q55</f>
        <v/>
      </c>
      <c r="V55" s="1" t="n"/>
      <c r="W55" s="9">
        <f>S55-R55</f>
        <v/>
      </c>
      <c r="X55" s="9" t="n"/>
      <c r="AJ55" s="1" t="inlineStr">
        <is>
          <t>Cirugía General - Funduplicatura</t>
        </is>
      </c>
      <c r="AM55">
        <f>_xlfn.TEXTJOIN(" + ", TRUE, I55:M55)</f>
        <v/>
      </c>
    </row>
    <row r="56">
      <c r="A56" s="23" t="n">
        <v>43</v>
      </c>
      <c r="B56" s="1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7">
        <f>R56-Q56</f>
        <v/>
      </c>
      <c r="U56" s="7">
        <f>S56-Q56</f>
        <v/>
      </c>
      <c r="V56" s="1" t="n"/>
      <c r="W56" s="9">
        <f>S56-R56</f>
        <v/>
      </c>
      <c r="X56" s="9" t="n"/>
      <c r="AJ56" s="1" t="inlineStr">
        <is>
          <t>Cirugía General - Gastrectomía subtotal</t>
        </is>
      </c>
      <c r="AM56">
        <f>_xlfn.TEXTJOIN(" + ", TRUE, I56:M56)</f>
        <v/>
      </c>
    </row>
    <row r="57">
      <c r="A57" s="23" t="n">
        <v>44</v>
      </c>
      <c r="B57" s="1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7">
        <f>R57-Q57</f>
        <v/>
      </c>
      <c r="U57" s="7">
        <f>S57-Q57</f>
        <v/>
      </c>
      <c r="V57" s="1" t="n"/>
      <c r="W57" s="9">
        <f>S57-R57</f>
        <v/>
      </c>
      <c r="X57" s="9" t="n"/>
      <c r="AJ57" s="1" t="inlineStr">
        <is>
          <t>Cirugía General - Gastrectomía total</t>
        </is>
      </c>
      <c r="AM57">
        <f>_xlfn.TEXTJOIN(" + ", TRUE, I57:M57)</f>
        <v/>
      </c>
    </row>
    <row r="58">
      <c r="A58" s="23" t="n">
        <v>45</v>
      </c>
      <c r="B58" s="1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7">
        <f>R58-Q58</f>
        <v/>
      </c>
      <c r="U58" s="7">
        <f>S58-Q58</f>
        <v/>
      </c>
      <c r="V58" s="1" t="n"/>
      <c r="W58" s="9">
        <f>S58-R58</f>
        <v/>
      </c>
      <c r="X58" s="9" t="n"/>
      <c r="AJ58" s="1" t="inlineStr">
        <is>
          <t>Cirugía General - Gastrostomía</t>
        </is>
      </c>
      <c r="AM58">
        <f>_xlfn.TEXTJOIN(" + ", TRUE, I58:M58)</f>
        <v/>
      </c>
    </row>
    <row r="59">
      <c r="A59" s="23" t="n">
        <v>46</v>
      </c>
      <c r="B59" s="1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7">
        <f>R59-Q59</f>
        <v/>
      </c>
      <c r="U59" s="7">
        <f>S59-Q59</f>
        <v/>
      </c>
      <c r="V59" s="1" t="n"/>
      <c r="W59" s="9">
        <f>S59-R59</f>
        <v/>
      </c>
      <c r="X59" s="9" t="n"/>
      <c r="AJ59" s="1" t="inlineStr">
        <is>
          <t>Cirugía General - Hemicolectomía derecha</t>
        </is>
      </c>
      <c r="AM59">
        <f>_xlfn.TEXTJOIN(" + ", TRUE, I59:M59)</f>
        <v/>
      </c>
    </row>
    <row r="60">
      <c r="A60" s="23" t="n">
        <v>47</v>
      </c>
      <c r="B60" s="1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7">
        <f>R60-Q60</f>
        <v/>
      </c>
      <c r="U60" s="7">
        <f>S60-Q60</f>
        <v/>
      </c>
      <c r="V60" s="1" t="n"/>
      <c r="W60" s="9">
        <f>S60-R60</f>
        <v/>
      </c>
      <c r="X60" s="9" t="n"/>
      <c r="AJ60" s="1" t="inlineStr">
        <is>
          <t>Cirugía General - Hemicolectomía izquierda</t>
        </is>
      </c>
      <c r="AM60">
        <f>_xlfn.TEXTJOIN(" + ", TRUE, I60:M60)</f>
        <v/>
      </c>
    </row>
    <row r="61">
      <c r="A61" s="23" t="n">
        <v>48</v>
      </c>
      <c r="B61" s="1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7">
        <f>R61-Q61</f>
        <v/>
      </c>
      <c r="U61" s="7">
        <f>S61-Q61</f>
        <v/>
      </c>
      <c r="V61" s="1" t="n"/>
      <c r="W61" s="9">
        <f>S61-R61</f>
        <v/>
      </c>
      <c r="X61" s="9" t="n"/>
      <c r="AJ61" s="1" t="inlineStr">
        <is>
          <t>Cirugía General - Hemorroidectomía</t>
        </is>
      </c>
      <c r="AM61">
        <f>_xlfn.TEXTJOIN(" + ", TRUE, I61:M61)</f>
        <v/>
      </c>
    </row>
    <row r="62">
      <c r="A62" s="23" t="n">
        <v>49</v>
      </c>
      <c r="B62" s="1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7">
        <f>R62-Q62</f>
        <v/>
      </c>
      <c r="U62" s="7">
        <f>S62-Q62</f>
        <v/>
      </c>
      <c r="V62" s="1" t="n"/>
      <c r="W62" s="9">
        <f>S62-R62</f>
        <v/>
      </c>
      <c r="X62" s="9" t="n"/>
      <c r="AJ62" s="1" t="inlineStr">
        <is>
          <t>Cirugía General - Hepatectomía</t>
        </is>
      </c>
      <c r="AM62">
        <f>_xlfn.TEXTJOIN(" + ", TRUE, I62:M62)</f>
        <v/>
      </c>
    </row>
    <row r="63">
      <c r="A63" s="23" t="n">
        <v>50</v>
      </c>
      <c r="B63" s="1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7">
        <f>R63-Q63</f>
        <v/>
      </c>
      <c r="U63" s="7">
        <f>S63-Q63</f>
        <v/>
      </c>
      <c r="V63" s="1" t="n"/>
      <c r="W63" s="9">
        <f>S63-R63</f>
        <v/>
      </c>
      <c r="X63" s="9" t="n"/>
      <c r="AJ63" s="1" t="inlineStr">
        <is>
          <t>Cirugía General - Hernioplastía incisional</t>
        </is>
      </c>
      <c r="AM63">
        <f>_xlfn.TEXTJOIN(" + ", TRUE, I63:M63)</f>
        <v/>
      </c>
    </row>
    <row r="64">
      <c r="A64" s="23" t="n">
        <v>51</v>
      </c>
      <c r="B64" s="1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7">
        <f>R64-Q64</f>
        <v/>
      </c>
      <c r="U64" s="7">
        <f>S64-Q64</f>
        <v/>
      </c>
      <c r="V64" s="1" t="n"/>
      <c r="W64" s="9">
        <f>S64-R64</f>
        <v/>
      </c>
      <c r="X64" s="9" t="n"/>
      <c r="AJ64" s="1" t="inlineStr">
        <is>
          <t>Cirugía General - Hernioplastía inguinal</t>
        </is>
      </c>
      <c r="AM64">
        <f>_xlfn.TEXTJOIN(" + ", TRUE, I64:M64)</f>
        <v/>
      </c>
    </row>
    <row r="65">
      <c r="A65" s="23" t="n">
        <v>52</v>
      </c>
      <c r="B65" s="1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7">
        <f>R65-Q65</f>
        <v/>
      </c>
      <c r="U65" s="7">
        <f>S65-Q65</f>
        <v/>
      </c>
      <c r="V65" s="1" t="n"/>
      <c r="W65" s="9">
        <f>S65-R65</f>
        <v/>
      </c>
      <c r="X65" s="9" t="n"/>
      <c r="AJ65" s="1" t="inlineStr">
        <is>
          <t>Cirugía General - Hernioplastía umbilical</t>
        </is>
      </c>
      <c r="AM65">
        <f>_xlfn.TEXTJOIN(" + ", TRUE, I65:M65)</f>
        <v/>
      </c>
    </row>
    <row r="66">
      <c r="A66" s="23" t="n">
        <v>53</v>
      </c>
      <c r="B66" s="1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7">
        <f>R66-Q66</f>
        <v/>
      </c>
      <c r="U66" s="7">
        <f>S66-Q66</f>
        <v/>
      </c>
      <c r="V66" s="1" t="n"/>
      <c r="W66" s="9">
        <f>S66-R66</f>
        <v/>
      </c>
      <c r="X66" s="9" t="n"/>
      <c r="AJ66" s="1" t="inlineStr">
        <is>
          <t>Cirugía General - Herniorrafia</t>
        </is>
      </c>
      <c r="AM66">
        <f>_xlfn.TEXTJOIN(" + ", TRUE, I66:M66)</f>
        <v/>
      </c>
    </row>
    <row r="67">
      <c r="A67" s="23" t="n">
        <v>54</v>
      </c>
      <c r="B67" s="1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7">
        <f>R67-Q67</f>
        <v/>
      </c>
      <c r="U67" s="7">
        <f>S67-Q67</f>
        <v/>
      </c>
      <c r="V67" s="1" t="n"/>
      <c r="W67" s="9">
        <f>S67-R67</f>
        <v/>
      </c>
      <c r="X67" s="9" t="n"/>
      <c r="AJ67" s="1" t="inlineStr">
        <is>
          <t>Cirugía General - Ileostomía</t>
        </is>
      </c>
      <c r="AM67">
        <f>_xlfn.TEXTJOIN(" + ", TRUE, I67:M67)</f>
        <v/>
      </c>
    </row>
    <row r="68">
      <c r="A68" s="23" t="n">
        <v>55</v>
      </c>
      <c r="B68" s="1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7">
        <f>R68-Q68</f>
        <v/>
      </c>
      <c r="U68" s="7">
        <f>S68-Q68</f>
        <v/>
      </c>
      <c r="V68" s="1" t="n"/>
      <c r="W68" s="9">
        <f>S68-R68</f>
        <v/>
      </c>
      <c r="X68" s="9" t="n"/>
      <c r="AJ68" s="1" t="inlineStr">
        <is>
          <t>Cirugía General - Laparoscopía diagnóstica</t>
        </is>
      </c>
      <c r="AM68">
        <f>_xlfn.TEXTJOIN(" + ", TRUE, I68:M68)</f>
        <v/>
      </c>
    </row>
    <row r="69">
      <c r="A69" s="23" t="n">
        <v>56</v>
      </c>
      <c r="B69" s="1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7">
        <f>R69-Q69</f>
        <v/>
      </c>
      <c r="U69" s="7">
        <f>S69-Q69</f>
        <v/>
      </c>
      <c r="V69" s="1" t="n"/>
      <c r="W69" s="9">
        <f>S69-R69</f>
        <v/>
      </c>
      <c r="X69" s="9" t="n"/>
      <c r="AJ69" s="1" t="inlineStr">
        <is>
          <t>Cirugía General - Laparotomía exploradora</t>
        </is>
      </c>
      <c r="AM69">
        <f>_xlfn.TEXTJOIN(" + ", TRUE, I69:M69)</f>
        <v/>
      </c>
    </row>
    <row r="70">
      <c r="A70" s="23" t="n">
        <v>57</v>
      </c>
      <c r="B70" s="1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7">
        <f>R70-Q70</f>
        <v/>
      </c>
      <c r="U70" s="7">
        <f>S70-Q70</f>
        <v/>
      </c>
      <c r="V70" s="1" t="n"/>
      <c r="W70" s="9">
        <f>S70-R70</f>
        <v/>
      </c>
      <c r="X70" s="9" t="n"/>
      <c r="AJ70" s="1" t="inlineStr">
        <is>
          <t>Cirugía General - Manejo quirúrgico de trauma abdominal</t>
        </is>
      </c>
      <c r="AM70">
        <f>_xlfn.TEXTJOIN(" + ", TRUE, I70:M70)</f>
        <v/>
      </c>
    </row>
    <row r="71">
      <c r="A71" s="23" t="n">
        <v>58</v>
      </c>
      <c r="B71" s="1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7">
        <f>R71-Q71</f>
        <v/>
      </c>
      <c r="U71" s="7">
        <f>S71-Q71</f>
        <v/>
      </c>
      <c r="V71" s="1" t="n"/>
      <c r="W71" s="9">
        <f>S71-R71</f>
        <v/>
      </c>
      <c r="X71" s="9" t="n"/>
      <c r="AJ71" s="1" t="inlineStr">
        <is>
          <t>Cirugía General - Manga gástrica</t>
        </is>
      </c>
      <c r="AM71">
        <f>_xlfn.TEXTJOIN(" + ", TRUE, I71:M71)</f>
        <v/>
      </c>
    </row>
    <row r="72">
      <c r="A72" s="23" t="n">
        <v>59</v>
      </c>
      <c r="B72" s="1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7">
        <f>R72-Q72</f>
        <v/>
      </c>
      <c r="U72" s="7">
        <f>S72-Q72</f>
        <v/>
      </c>
      <c r="V72" s="1" t="n"/>
      <c r="W72" s="9">
        <f>S72-R72</f>
        <v/>
      </c>
      <c r="X72" s="9" t="n"/>
      <c r="AJ72" s="1" t="inlineStr">
        <is>
          <t>Cirugía General - Pancreatectomía</t>
        </is>
      </c>
      <c r="AM72">
        <f>_xlfn.TEXTJOIN(" + ", TRUE, I72:M72)</f>
        <v/>
      </c>
    </row>
    <row r="73">
      <c r="A73" s="23" t="n">
        <v>60</v>
      </c>
      <c r="B73" s="1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7">
        <f>R73-Q73</f>
        <v/>
      </c>
      <c r="U73" s="7">
        <f>S73-Q73</f>
        <v/>
      </c>
      <c r="V73" s="1" t="n"/>
      <c r="W73" s="9">
        <f>S73-R73</f>
        <v/>
      </c>
      <c r="X73" s="9" t="n"/>
      <c r="AJ73" s="1" t="inlineStr">
        <is>
          <t>Cirugía General - Paratiroidectomía</t>
        </is>
      </c>
      <c r="AM73">
        <f>_xlfn.TEXTJOIN(" + ", TRUE, I73:M73)</f>
        <v/>
      </c>
    </row>
    <row r="74">
      <c r="A74" s="23" t="n">
        <v>61</v>
      </c>
      <c r="B74" s="1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7">
        <f>R74-Q74</f>
        <v/>
      </c>
      <c r="U74" s="7">
        <f>S74-Q74</f>
        <v/>
      </c>
      <c r="V74" s="1" t="n"/>
      <c r="W74" s="9">
        <f>S74-R74</f>
        <v/>
      </c>
      <c r="X74" s="9" t="n"/>
      <c r="AJ74" s="1" t="inlineStr">
        <is>
          <t>Cirugía General - Piloroplastía</t>
        </is>
      </c>
      <c r="AM74">
        <f>_xlfn.TEXTJOIN(" + ", TRUE, I74:M74)</f>
        <v/>
      </c>
    </row>
    <row r="75">
      <c r="A75" s="23" t="n">
        <v>62</v>
      </c>
      <c r="B75" s="1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7">
        <f>R75-Q75</f>
        <v/>
      </c>
      <c r="U75" s="7">
        <f>S75-Q75</f>
        <v/>
      </c>
      <c r="V75" s="1" t="n"/>
      <c r="W75" s="9">
        <f>S75-R75</f>
        <v/>
      </c>
      <c r="X75" s="9" t="n"/>
      <c r="AJ75" s="1" t="inlineStr">
        <is>
          <t>Cirugía General - Reexploración abdominal y cierre por planos</t>
        </is>
      </c>
      <c r="AM75">
        <f>_xlfn.TEXTJOIN(" + ", TRUE, I75:M75)</f>
        <v/>
      </c>
    </row>
    <row r="76">
      <c r="A76" s="23" t="n">
        <v>63</v>
      </c>
      <c r="B76" s="1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7">
        <f>R76-Q76</f>
        <v/>
      </c>
      <c r="U76" s="7">
        <f>S76-Q76</f>
        <v/>
      </c>
      <c r="V76" s="1" t="n"/>
      <c r="W76" s="9">
        <f>S76-R76</f>
        <v/>
      </c>
      <c r="X76" s="9" t="n"/>
      <c r="AJ76" s="1" t="inlineStr">
        <is>
          <t>Cirugía General - Remodelación de Colostomía</t>
        </is>
      </c>
      <c r="AM76">
        <f>_xlfn.TEXTJOIN(" + ", TRUE, I76:M76)</f>
        <v/>
      </c>
    </row>
    <row r="77">
      <c r="A77" s="23" t="n">
        <v>64</v>
      </c>
      <c r="B77" s="1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7">
        <f>R77-Q77</f>
        <v/>
      </c>
      <c r="U77" s="7">
        <f>S77-Q77</f>
        <v/>
      </c>
      <c r="V77" s="1" t="n"/>
      <c r="W77" s="9">
        <f>S77-R77</f>
        <v/>
      </c>
      <c r="X77" s="9" t="n"/>
      <c r="AJ77" s="1" t="inlineStr">
        <is>
          <t>Cirugía General - Reparación de hernias</t>
        </is>
      </c>
      <c r="AM77">
        <f>_xlfn.TEXTJOIN(" + ", TRUE, I77:M77)</f>
        <v/>
      </c>
    </row>
    <row r="78">
      <c r="A78" s="23" t="n">
        <v>65</v>
      </c>
      <c r="B78" s="1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7">
        <f>R78-Q78</f>
        <v/>
      </c>
      <c r="U78" s="7">
        <f>S78-Q78</f>
        <v/>
      </c>
      <c r="V78" s="1" t="n"/>
      <c r="W78" s="9">
        <f>S78-R78</f>
        <v/>
      </c>
      <c r="X78" s="9" t="n"/>
      <c r="AJ78" s="1" t="inlineStr">
        <is>
          <t>Cirugía General - Reparación de perforaciones gastrointestinales</t>
        </is>
      </c>
      <c r="AM78">
        <f>_xlfn.TEXTJOIN(" + ", TRUE, I78:M78)</f>
        <v/>
      </c>
    </row>
    <row r="79">
      <c r="A79" s="23" t="n">
        <v>66</v>
      </c>
      <c r="B79" s="1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7">
        <f>R79-Q79</f>
        <v/>
      </c>
      <c r="U79" s="7">
        <f>S79-Q79</f>
        <v/>
      </c>
      <c r="V79" s="1" t="n"/>
      <c r="W79" s="9">
        <f>S79-R79</f>
        <v/>
      </c>
      <c r="X79" s="9" t="n"/>
      <c r="AJ79" s="1" t="inlineStr">
        <is>
          <t>Cirugía General - Resección de lipomas</t>
        </is>
      </c>
      <c r="AM79">
        <f>_xlfn.TEXTJOIN(" + ", TRUE, I79:M79)</f>
        <v/>
      </c>
    </row>
    <row r="80">
      <c r="A80" s="23" t="n">
        <v>67</v>
      </c>
      <c r="B80" s="1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7">
        <f>R80-Q80</f>
        <v/>
      </c>
      <c r="U80" s="7">
        <f>S80-Q80</f>
        <v/>
      </c>
      <c r="V80" s="1" t="n"/>
      <c r="W80" s="9">
        <f>S80-R80</f>
        <v/>
      </c>
      <c r="X80" s="9" t="n"/>
      <c r="AJ80" s="1" t="inlineStr">
        <is>
          <t>Cirugía General - Resección de tejido</t>
        </is>
      </c>
      <c r="AM80">
        <f>_xlfn.TEXTJOIN(" + ", TRUE, I80:M80)</f>
        <v/>
      </c>
    </row>
    <row r="81">
      <c r="A81" s="23" t="n">
        <v>68</v>
      </c>
      <c r="B81" s="1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7">
        <f>R81-Q81</f>
        <v/>
      </c>
      <c r="U81" s="7">
        <f>S81-Q81</f>
        <v/>
      </c>
      <c r="V81" s="1" t="n"/>
      <c r="W81" s="9">
        <f>S81-R81</f>
        <v/>
      </c>
      <c r="X81" s="9" t="n"/>
      <c r="AJ81" s="1" t="inlineStr">
        <is>
          <t>Cirugía General - Resección de tumores de piel y tejidos blandos</t>
        </is>
      </c>
      <c r="AM81">
        <f>_xlfn.TEXTJOIN(" + ", TRUE, I81:M81)</f>
        <v/>
      </c>
    </row>
    <row r="82">
      <c r="A82" s="23" t="n">
        <v>69</v>
      </c>
      <c r="B82" s="1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7">
        <f>R82-Q82</f>
        <v/>
      </c>
      <c r="U82" s="7">
        <f>S82-Q82</f>
        <v/>
      </c>
      <c r="V82" s="1" t="n"/>
      <c r="W82" s="9">
        <f>S82-R82</f>
        <v/>
      </c>
      <c r="X82" s="9" t="n"/>
      <c r="AJ82" s="1" t="inlineStr">
        <is>
          <t>Cirugía General - Resección intestinal</t>
        </is>
      </c>
      <c r="AM82">
        <f>_xlfn.TEXTJOIN(" + ", TRUE, I82:M82)</f>
        <v/>
      </c>
    </row>
    <row r="83">
      <c r="A83" s="23" t="n">
        <v>70</v>
      </c>
      <c r="B83" s="1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7">
        <f>R83-Q83</f>
        <v/>
      </c>
      <c r="U83" s="7">
        <f>S83-Q83</f>
        <v/>
      </c>
      <c r="V83" s="1" t="n"/>
      <c r="W83" s="9">
        <f>S83-R83</f>
        <v/>
      </c>
      <c r="X83" s="9" t="n"/>
      <c r="AJ83" s="1" t="inlineStr">
        <is>
          <t>Cirugía General - Sigmoidectomía</t>
        </is>
      </c>
      <c r="AM83">
        <f>_xlfn.TEXTJOIN(" + ", TRUE, I83:M83)</f>
        <v/>
      </c>
    </row>
    <row r="84">
      <c r="A84" s="23" t="n">
        <v>71</v>
      </c>
      <c r="B84" s="1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7">
        <f>R84-Q84</f>
        <v/>
      </c>
      <c r="U84" s="7">
        <f>S84-Q84</f>
        <v/>
      </c>
      <c r="V84" s="1" t="n"/>
      <c r="W84" s="9">
        <f>S84-R84</f>
        <v/>
      </c>
      <c r="X84" s="9" t="n"/>
      <c r="AJ84" s="1" t="inlineStr">
        <is>
          <t>Cirugía General - Tiroidectomía parcial</t>
        </is>
      </c>
      <c r="AM84">
        <f>_xlfn.TEXTJOIN(" + ", TRUE, I84:M84)</f>
        <v/>
      </c>
    </row>
    <row r="85">
      <c r="A85" s="23" t="n">
        <v>72</v>
      </c>
      <c r="B85" s="1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7">
        <f>R85-Q85</f>
        <v/>
      </c>
      <c r="U85" s="7">
        <f>S85-Q85</f>
        <v/>
      </c>
      <c r="V85" s="1" t="n"/>
      <c r="W85" s="9">
        <f>S85-R85</f>
        <v/>
      </c>
      <c r="X85" s="9" t="n"/>
      <c r="AJ85" s="1" t="inlineStr">
        <is>
          <t>Cirugía General - Tiroidectomía total</t>
        </is>
      </c>
      <c r="AM85">
        <f>_xlfn.TEXTJOIN(" + ", TRUE, I85:M85)</f>
        <v/>
      </c>
    </row>
    <row r="86">
      <c r="A86" s="23" t="n">
        <v>73</v>
      </c>
      <c r="B86" s="1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7">
        <f>R86-Q86</f>
        <v/>
      </c>
      <c r="U86" s="7">
        <f>S86-Q86</f>
        <v/>
      </c>
      <c r="V86" s="1" t="n"/>
      <c r="W86" s="9">
        <f>S86-R86</f>
        <v/>
      </c>
      <c r="X86" s="9" t="n"/>
      <c r="AJ86" s="1" t="inlineStr">
        <is>
          <t>Cirugía General - Tratamiento quirúrgico del sangrado digestivo</t>
        </is>
      </c>
      <c r="AM86">
        <f>_xlfn.TEXTJOIN(" + ", TRUE, I86:M86)</f>
        <v/>
      </c>
    </row>
    <row r="87">
      <c r="A87" s="23" t="n">
        <v>74</v>
      </c>
      <c r="B87" s="1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7">
        <f>R87-Q87</f>
        <v/>
      </c>
      <c r="U87" s="7">
        <f>S87-Q87</f>
        <v/>
      </c>
      <c r="V87" s="1" t="n"/>
      <c r="W87" s="9">
        <f>S87-R87</f>
        <v/>
      </c>
      <c r="X87" s="9" t="n"/>
      <c r="AJ87" s="1" t="inlineStr">
        <is>
          <t>Cirugía General - Vagotomía</t>
        </is>
      </c>
      <c r="AM87">
        <f>_xlfn.TEXTJOIN(" + ", TRUE, I87:M87)</f>
        <v/>
      </c>
    </row>
    <row r="88">
      <c r="A88" s="23" t="n">
        <v>75</v>
      </c>
      <c r="B88" s="1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7">
        <f>R88-Q88</f>
        <v/>
      </c>
      <c r="U88" s="7">
        <f>S88-Q88</f>
        <v/>
      </c>
      <c r="V88" s="1" t="n"/>
      <c r="W88" s="9">
        <f>S88-R88</f>
        <v/>
      </c>
      <c r="X88" s="9" t="n"/>
      <c r="AJ88" s="1" t="inlineStr">
        <is>
          <t>Cirugía General - Yeyunostomía</t>
        </is>
      </c>
      <c r="AM88">
        <f>_xlfn.TEXTJOIN(" + ", TRUE, I88:M88)</f>
        <v/>
      </c>
    </row>
    <row r="89">
      <c r="A89" s="23" t="n">
        <v>76</v>
      </c>
      <c r="B89" s="1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7">
        <f>R89-Q89</f>
        <v/>
      </c>
      <c r="U89" s="7">
        <f>S89-Q89</f>
        <v/>
      </c>
      <c r="V89" s="1" t="n"/>
      <c r="W89" s="9">
        <f>S89-R89</f>
        <v/>
      </c>
      <c r="X89" s="9" t="n"/>
      <c r="AJ89" s="1" t="inlineStr">
        <is>
          <t>Cirugía Maxilofacial - Cirugía ortognática</t>
        </is>
      </c>
      <c r="AM89">
        <f>_xlfn.TEXTJOIN(" + ", TRUE, I89:M89)</f>
        <v/>
      </c>
    </row>
    <row r="90">
      <c r="A90" s="23" t="n">
        <v>77</v>
      </c>
      <c r="B90" s="1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7">
        <f>R90-Q90</f>
        <v/>
      </c>
      <c r="U90" s="7">
        <f>S90-Q90</f>
        <v/>
      </c>
      <c r="V90" s="1" t="n"/>
      <c r="W90" s="9">
        <f>S90-R90</f>
        <v/>
      </c>
      <c r="X90" s="9" t="n"/>
      <c r="AJ90" s="1" t="inlineStr">
        <is>
          <t>Cirugía Maxilofacial - Extracción de terceros molares</t>
        </is>
      </c>
      <c r="AM90">
        <f>_xlfn.TEXTJOIN(" + ", TRUE, I90:M90)</f>
        <v/>
      </c>
    </row>
    <row r="91">
      <c r="A91" s="23" t="n">
        <v>78</v>
      </c>
      <c r="B91" s="1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7">
        <f>R91-Q91</f>
        <v/>
      </c>
      <c r="U91" s="7">
        <f>S91-Q91</f>
        <v/>
      </c>
      <c r="V91" s="1" t="n"/>
      <c r="W91" s="9">
        <f>S91-R91</f>
        <v/>
      </c>
      <c r="X91" s="9" t="n"/>
      <c r="AJ91" s="1" t="inlineStr">
        <is>
          <t>Cirugía Maxilofacial - Osteotomía mandibular</t>
        </is>
      </c>
      <c r="AM91">
        <f>_xlfn.TEXTJOIN(" + ", TRUE, I91:M91)</f>
        <v/>
      </c>
    </row>
    <row r="92">
      <c r="A92" s="23" t="n">
        <v>79</v>
      </c>
      <c r="B92" s="1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7">
        <f>R92-Q92</f>
        <v/>
      </c>
      <c r="U92" s="7">
        <f>S92-Q92</f>
        <v/>
      </c>
      <c r="V92" s="1" t="n"/>
      <c r="W92" s="9">
        <f>S92-R92</f>
        <v/>
      </c>
      <c r="X92" s="9" t="n"/>
      <c r="AJ92" s="1" t="inlineStr">
        <is>
          <t>Cirugía Maxilofacial - Reconstrucción maxilar</t>
        </is>
      </c>
      <c r="AM92">
        <f>_xlfn.TEXTJOIN(" + ", TRUE, I92:M92)</f>
        <v/>
      </c>
    </row>
    <row r="93">
      <c r="A93" s="23" t="n">
        <v>80</v>
      </c>
      <c r="B93" s="1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7">
        <f>R93-Q93</f>
        <v/>
      </c>
      <c r="U93" s="7">
        <f>S93-Q93</f>
        <v/>
      </c>
      <c r="V93" s="1" t="n"/>
      <c r="W93" s="9">
        <f>S93-R93</f>
        <v/>
      </c>
      <c r="X93" s="9" t="n"/>
      <c r="AJ93" s="1" t="inlineStr">
        <is>
          <t>Cirugía Maxilofacial - Reducción de fractura facial</t>
        </is>
      </c>
      <c r="AM93">
        <f>_xlfn.TEXTJOIN(" + ", TRUE, I93:M93)</f>
        <v/>
      </c>
    </row>
    <row r="94">
      <c r="A94" s="23" t="n">
        <v>81</v>
      </c>
      <c r="B94" s="1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7">
        <f>R94-Q94</f>
        <v/>
      </c>
      <c r="U94" s="7">
        <f>S94-Q94</f>
        <v/>
      </c>
      <c r="V94" s="1" t="n"/>
      <c r="W94" s="9">
        <f>S94-R94</f>
        <v/>
      </c>
      <c r="X94" s="9" t="n"/>
      <c r="AJ94" s="1" t="inlineStr">
        <is>
          <t>Cirugía Maxilofacial - Reparación de fractura facial</t>
        </is>
      </c>
      <c r="AM94">
        <f>_xlfn.TEXTJOIN(" + ", TRUE, I94:M94)</f>
        <v/>
      </c>
    </row>
    <row r="95">
      <c r="A95" s="23" t="n">
        <v>82</v>
      </c>
      <c r="B95" s="1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7">
        <f>R95-Q95</f>
        <v/>
      </c>
      <c r="U95" s="7">
        <f>S95-Q95</f>
        <v/>
      </c>
      <c r="V95" s="1" t="n"/>
      <c r="W95" s="9">
        <f>S95-R95</f>
        <v/>
      </c>
      <c r="X95" s="9" t="n"/>
      <c r="AJ95" s="1" t="inlineStr">
        <is>
          <t>Cirugía Maxilofacial - Resección de tumores maxilares</t>
        </is>
      </c>
      <c r="AM95">
        <f>_xlfn.TEXTJOIN(" + ", TRUE, I95:M95)</f>
        <v/>
      </c>
    </row>
    <row r="96">
      <c r="A96" s="23" t="n">
        <v>83</v>
      </c>
      <c r="B96" s="1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7">
        <f>R96-Q96</f>
        <v/>
      </c>
      <c r="U96" s="7">
        <f>S96-Q96</f>
        <v/>
      </c>
      <c r="V96" s="1" t="n"/>
      <c r="W96" s="9">
        <f>S96-R96</f>
        <v/>
      </c>
      <c r="X96" s="9" t="n"/>
      <c r="AJ96" s="1" t="inlineStr">
        <is>
          <t>Cirugía Oncológica - Cirugía de sarcomas</t>
        </is>
      </c>
      <c r="AM96">
        <f>_xlfn.TEXTJOIN(" + ", TRUE, I96:M96)</f>
        <v/>
      </c>
    </row>
    <row r="97">
      <c r="A97" s="23" t="n">
        <v>84</v>
      </c>
      <c r="B97" s="1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7">
        <f>R97-Q97</f>
        <v/>
      </c>
      <c r="U97" s="7">
        <f>S97-Q97</f>
        <v/>
      </c>
      <c r="V97" s="1" t="n"/>
      <c r="W97" s="9">
        <f>S97-R97</f>
        <v/>
      </c>
      <c r="X97" s="9" t="n"/>
      <c r="AJ97" s="1" t="inlineStr">
        <is>
          <t>Cirugía Oncológica - Cirugía hepatobiliar</t>
        </is>
      </c>
      <c r="AM97">
        <f>_xlfn.TEXTJOIN(" + ", TRUE, I97:M97)</f>
        <v/>
      </c>
    </row>
    <row r="98">
      <c r="A98" s="23" t="n">
        <v>85</v>
      </c>
      <c r="B98" s="1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7">
        <f>R98-Q98</f>
        <v/>
      </c>
      <c r="U98" s="7">
        <f>S98-Q98</f>
        <v/>
      </c>
      <c r="V98" s="1" t="n"/>
      <c r="W98" s="9">
        <f>S98-R98</f>
        <v/>
      </c>
      <c r="X98" s="9" t="n"/>
      <c r="AJ98" s="1" t="inlineStr">
        <is>
          <t>Cirugía Oncológica - Cirugía paliativa oncológica</t>
        </is>
      </c>
      <c r="AM98">
        <f>_xlfn.TEXTJOIN(" + ", TRUE, I98:M98)</f>
        <v/>
      </c>
    </row>
    <row r="99">
      <c r="A99" s="23" t="n">
        <v>86</v>
      </c>
      <c r="B99" s="1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7">
        <f>R99-Q99</f>
        <v/>
      </c>
      <c r="U99" s="7">
        <f>S99-Q99</f>
        <v/>
      </c>
      <c r="V99" s="1" t="n"/>
      <c r="W99" s="9">
        <f>S99-R99</f>
        <v/>
      </c>
      <c r="X99" s="9" t="n"/>
      <c r="AJ99" s="1" t="inlineStr">
        <is>
          <t>Cirugía Oncológica - Cirugía pancreática</t>
        </is>
      </c>
      <c r="AM99">
        <f>_xlfn.TEXTJOIN(" + ", TRUE, I99:M99)</f>
        <v/>
      </c>
    </row>
    <row r="100">
      <c r="A100" s="23" t="n">
        <v>87</v>
      </c>
      <c r="B100" s="1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7">
        <f>R100-Q100</f>
        <v/>
      </c>
      <c r="U100" s="7">
        <f>S100-Q100</f>
        <v/>
      </c>
      <c r="V100" s="1" t="n"/>
      <c r="W100" s="9">
        <f>S100-R100</f>
        <v/>
      </c>
      <c r="X100" s="9" t="n"/>
      <c r="AJ100" s="1" t="inlineStr">
        <is>
          <t>Cirugía Oncológica - Colectomía oncológica</t>
        </is>
      </c>
      <c r="AM100">
        <f>_xlfn.TEXTJOIN(" + ", TRUE, I100:M100)</f>
        <v/>
      </c>
    </row>
    <row r="101">
      <c r="A101" s="23" t="n">
        <v>88</v>
      </c>
      <c r="B101" s="1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7">
        <f>R101-Q101</f>
        <v/>
      </c>
      <c r="U101" s="7">
        <f>S101-Q101</f>
        <v/>
      </c>
      <c r="V101" s="1" t="n"/>
      <c r="W101" s="9">
        <f>S101-R101</f>
        <v/>
      </c>
      <c r="X101" s="9" t="n"/>
      <c r="AJ101" s="1" t="inlineStr">
        <is>
          <t>Cirugía Oncológica - Cuadrantectomía</t>
        </is>
      </c>
      <c r="AM101">
        <f>_xlfn.TEXTJOIN(" + ", TRUE, I101:M101)</f>
        <v/>
      </c>
    </row>
    <row r="102">
      <c r="A102" s="23" t="n">
        <v>89</v>
      </c>
      <c r="B102" s="1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7">
        <f>R102-Q102</f>
        <v/>
      </c>
      <c r="U102" s="7">
        <f>S102-Q102</f>
        <v/>
      </c>
      <c r="V102" s="1" t="n"/>
      <c r="W102" s="9">
        <f>S102-R102</f>
        <v/>
      </c>
      <c r="X102" s="9" t="n"/>
      <c r="AJ102" s="1" t="inlineStr">
        <is>
          <t>Cirugía Oncológica - Debulking tumoral</t>
        </is>
      </c>
      <c r="AM102">
        <f>_xlfn.TEXTJOIN(" + ", TRUE, I102:M102)</f>
        <v/>
      </c>
    </row>
    <row r="103">
      <c r="A103" s="23" t="n">
        <v>90</v>
      </c>
      <c r="B103" s="1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7">
        <f>R103-Q103</f>
        <v/>
      </c>
      <c r="U103" s="7">
        <f>S103-Q103</f>
        <v/>
      </c>
      <c r="V103" s="1" t="n"/>
      <c r="W103" s="9">
        <f>S103-R103</f>
        <v/>
      </c>
      <c r="X103" s="9" t="n"/>
      <c r="AJ103" s="1" t="inlineStr">
        <is>
          <t>Cirugía Oncológica - Disección axilar</t>
        </is>
      </c>
      <c r="AM103">
        <f>_xlfn.TEXTJOIN(" + ", TRUE, I103:M103)</f>
        <v/>
      </c>
    </row>
    <row r="104">
      <c r="A104" s="23" t="n">
        <v>91</v>
      </c>
      <c r="B104" s="1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7">
        <f>R104-Q104</f>
        <v/>
      </c>
      <c r="U104" s="7">
        <f>S104-Q104</f>
        <v/>
      </c>
      <c r="V104" s="1" t="n"/>
      <c r="W104" s="9">
        <f>S104-R104</f>
        <v/>
      </c>
      <c r="X104" s="9" t="n"/>
      <c r="AJ104" s="1" t="inlineStr">
        <is>
          <t>Cirugía Oncológica - Disección cervical</t>
        </is>
      </c>
      <c r="AM104">
        <f>_xlfn.TEXTJOIN(" + ", TRUE, I104:M104)</f>
        <v/>
      </c>
    </row>
    <row r="105">
      <c r="A105" s="23" t="n">
        <v>92</v>
      </c>
      <c r="B105" s="1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7">
        <f>R105-Q105</f>
        <v/>
      </c>
      <c r="U105" s="7">
        <f>S105-Q105</f>
        <v/>
      </c>
      <c r="V105" s="1" t="n"/>
      <c r="W105" s="9">
        <f>S105-R105</f>
        <v/>
      </c>
      <c r="X105" s="9" t="n"/>
      <c r="AJ105" s="1" t="inlineStr">
        <is>
          <t>Cirugía Oncológica - Gastrectomía oncológica</t>
        </is>
      </c>
      <c r="AM105">
        <f>_xlfn.TEXTJOIN(" + ", TRUE, I105:M105)</f>
        <v/>
      </c>
    </row>
    <row r="106">
      <c r="A106" s="23" t="n">
        <v>93</v>
      </c>
      <c r="B106" s="1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7">
        <f>R106-Q106</f>
        <v/>
      </c>
      <c r="U106" s="7">
        <f>S106-Q106</f>
        <v/>
      </c>
      <c r="V106" s="1" t="n"/>
      <c r="W106" s="9">
        <f>S106-R106</f>
        <v/>
      </c>
      <c r="X106" s="9" t="n"/>
      <c r="AJ106" s="1" t="inlineStr">
        <is>
          <t>Cirugía Oncológica - Linfadenectomía</t>
        </is>
      </c>
      <c r="AM106">
        <f>_xlfn.TEXTJOIN(" + ", TRUE, I106:M106)</f>
        <v/>
      </c>
    </row>
    <row r="107">
      <c r="A107" s="23" t="n">
        <v>94</v>
      </c>
      <c r="B107" s="1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7">
        <f>R107-Q107</f>
        <v/>
      </c>
      <c r="U107" s="7">
        <f>S107-Q107</f>
        <v/>
      </c>
      <c r="V107" s="1" t="n"/>
      <c r="W107" s="9">
        <f>S107-R107</f>
        <v/>
      </c>
      <c r="X107" s="9" t="n"/>
      <c r="AJ107" s="1" t="inlineStr">
        <is>
          <t>Cirugía Oncológica - Mastectomía</t>
        </is>
      </c>
      <c r="AM107">
        <f>_xlfn.TEXTJOIN(" + ", TRUE, I107:M107)</f>
        <v/>
      </c>
    </row>
    <row r="108">
      <c r="A108" s="23" t="n">
        <v>95</v>
      </c>
      <c r="B108" s="1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7">
        <f>R108-Q108</f>
        <v/>
      </c>
      <c r="U108" s="7">
        <f>S108-Q108</f>
        <v/>
      </c>
      <c r="V108" s="1" t="n"/>
      <c r="W108" s="9">
        <f>S108-R108</f>
        <v/>
      </c>
      <c r="X108" s="9" t="n"/>
      <c r="AJ108" s="1" t="inlineStr">
        <is>
          <t>Cirugía Oncológica - Pancreatectomía oncológica</t>
        </is>
      </c>
      <c r="AM108">
        <f>_xlfn.TEXTJOIN(" + ", TRUE, I108:M108)</f>
        <v/>
      </c>
    </row>
    <row r="109">
      <c r="A109" s="23" t="n">
        <v>96</v>
      </c>
      <c r="B109" s="1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7">
        <f>R109-Q109</f>
        <v/>
      </c>
      <c r="U109" s="7">
        <f>S109-Q109</f>
        <v/>
      </c>
      <c r="V109" s="1" t="n"/>
      <c r="W109" s="9">
        <f>S109-R109</f>
        <v/>
      </c>
      <c r="X109" s="9" t="n"/>
      <c r="AJ109" s="1" t="inlineStr">
        <is>
          <t>Cirugía Oncológica - Resección de tumores</t>
        </is>
      </c>
      <c r="AM109">
        <f>_xlfn.TEXTJOIN(" + ", TRUE, I109:M109)</f>
        <v/>
      </c>
    </row>
    <row r="110">
      <c r="A110" s="23" t="n">
        <v>97</v>
      </c>
      <c r="B110" s="1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7">
        <f>R110-Q110</f>
        <v/>
      </c>
      <c r="U110" s="7">
        <f>S110-Q110</f>
        <v/>
      </c>
      <c r="V110" s="1" t="n"/>
      <c r="W110" s="9">
        <f>S110-R110</f>
        <v/>
      </c>
      <c r="X110" s="9" t="n"/>
      <c r="AJ110" s="1" t="inlineStr">
        <is>
          <t>Cirugía Oncológica - Resección hepática</t>
        </is>
      </c>
      <c r="AM110">
        <f>_xlfn.TEXTJOIN(" + ", TRUE, I110:M110)</f>
        <v/>
      </c>
    </row>
    <row r="111">
      <c r="A111" s="23" t="n">
        <v>98</v>
      </c>
      <c r="B111" s="1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7">
        <f>R111-Q111</f>
        <v/>
      </c>
      <c r="U111" s="7">
        <f>S111-Q111</f>
        <v/>
      </c>
      <c r="V111" s="1" t="n"/>
      <c r="W111" s="9">
        <f>S111-R111</f>
        <v/>
      </c>
      <c r="X111" s="9" t="n"/>
      <c r="AJ111" s="1" t="inlineStr">
        <is>
          <t>Cirugía Oncológica - Tiroidectomía oncológica</t>
        </is>
      </c>
      <c r="AM111">
        <f>_xlfn.TEXTJOIN(" + ", TRUE, I111:M111)</f>
        <v/>
      </c>
    </row>
    <row r="112">
      <c r="A112" s="23" t="n">
        <v>99</v>
      </c>
      <c r="B112" s="1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7">
        <f>R112-Q112</f>
        <v/>
      </c>
      <c r="U112" s="7">
        <f>S112-Q112</f>
        <v/>
      </c>
      <c r="V112" s="1" t="n"/>
      <c r="W112" s="9">
        <f>S112-R112</f>
        <v/>
      </c>
      <c r="X112" s="9" t="n"/>
      <c r="AJ112" s="1" t="inlineStr">
        <is>
          <t>Cirugía Oncológica - Tumorectomía</t>
        </is>
      </c>
      <c r="AM112">
        <f>_xlfn.TEXTJOIN(" + ", TRUE, I112:M112)</f>
        <v/>
      </c>
    </row>
    <row r="113">
      <c r="A113" s="23" t="n">
        <v>100</v>
      </c>
      <c r="B113" s="1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7">
        <f>R113-Q113</f>
        <v/>
      </c>
      <c r="U113" s="7">
        <f>S113-Q113</f>
        <v/>
      </c>
      <c r="V113" s="1" t="n"/>
      <c r="W113" s="9">
        <f>S113-R113</f>
        <v/>
      </c>
      <c r="X113" s="9" t="n"/>
      <c r="AJ113" s="1" t="inlineStr">
        <is>
          <t>Cirugía Oral y Maxilofacial - Colocación de arco de Erich</t>
        </is>
      </c>
      <c r="AM113">
        <f>_xlfn.TEXTJOIN(" + ", TRUE, I113:M113)</f>
        <v/>
      </c>
    </row>
    <row r="114">
      <c r="A114" s="23" t="n">
        <v>101</v>
      </c>
      <c r="B114" s="1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7">
        <f>R114-Q114</f>
        <v/>
      </c>
      <c r="U114" s="7">
        <f>S114-Q114</f>
        <v/>
      </c>
      <c r="V114" s="1" t="n"/>
      <c r="W114" s="9">
        <f>S114-R114</f>
        <v/>
      </c>
      <c r="X114" s="9" t="n"/>
      <c r="AJ114" s="1" t="inlineStr">
        <is>
          <t>Cirugía Pediátrica - Apendicectomía pediátrica</t>
        </is>
      </c>
      <c r="AM114">
        <f>_xlfn.TEXTJOIN(" + ", TRUE, I114:M114)</f>
        <v/>
      </c>
    </row>
    <row r="115">
      <c r="A115" s="23" t="n">
        <v>102</v>
      </c>
      <c r="B115" s="1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7">
        <f>R115-Q115</f>
        <v/>
      </c>
      <c r="U115" s="7">
        <f>S115-Q115</f>
        <v/>
      </c>
      <c r="V115" s="1" t="n"/>
      <c r="W115" s="9">
        <f>S115-R115</f>
        <v/>
      </c>
      <c r="X115" s="9" t="n"/>
      <c r="AJ115" s="1" t="inlineStr">
        <is>
          <t>Cirugía Pediátrica - Atresias intestinales</t>
        </is>
      </c>
      <c r="AM115">
        <f>_xlfn.TEXTJOIN(" + ", TRUE, I115:M115)</f>
        <v/>
      </c>
    </row>
    <row r="116">
      <c r="A116" s="23" t="n">
        <v>103</v>
      </c>
      <c r="B116" s="1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7">
        <f>R116-Q116</f>
        <v/>
      </c>
      <c r="U116" s="7">
        <f>S116-Q116</f>
        <v/>
      </c>
      <c r="V116" s="1" t="n"/>
      <c r="W116" s="9">
        <f>S116-R116</f>
        <v/>
      </c>
      <c r="X116" s="9" t="n"/>
      <c r="AJ116" s="1" t="inlineStr">
        <is>
          <t>Cirugía Pediátrica - Circuncisión</t>
        </is>
      </c>
      <c r="AM116">
        <f>_xlfn.TEXTJOIN(" + ", TRUE, I116:M116)</f>
        <v/>
      </c>
    </row>
    <row r="117">
      <c r="A117" s="23" t="n">
        <v>104</v>
      </c>
      <c r="B117" s="1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7">
        <f>R117-Q117</f>
        <v/>
      </c>
      <c r="U117" s="7">
        <f>S117-Q117</f>
        <v/>
      </c>
      <c r="V117" s="1" t="n"/>
      <c r="W117" s="9">
        <f>S117-R117</f>
        <v/>
      </c>
      <c r="X117" s="9" t="n"/>
      <c r="AJ117" s="1" t="inlineStr">
        <is>
          <t>Cirugía Pediátrica - Corrección de atresia intestinal</t>
        </is>
      </c>
      <c r="AM117">
        <f>_xlfn.TEXTJOIN(" + ", TRUE, I117:M117)</f>
        <v/>
      </c>
    </row>
    <row r="118">
      <c r="A118" s="23" t="n">
        <v>105</v>
      </c>
      <c r="B118" s="1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7">
        <f>R118-Q118</f>
        <v/>
      </c>
      <c r="U118" s="7">
        <f>S118-Q118</f>
        <v/>
      </c>
      <c r="V118" s="1" t="n"/>
      <c r="W118" s="9">
        <f>S118-R118</f>
        <v/>
      </c>
      <c r="X118" s="9" t="n"/>
      <c r="AJ118" s="1" t="inlineStr">
        <is>
          <t>Cirugía Pediátrica - Corrección de labio y paladar hendido</t>
        </is>
      </c>
      <c r="AM118">
        <f>_xlfn.TEXTJOIN(" + ", TRUE, I118:M118)</f>
        <v/>
      </c>
    </row>
    <row r="119">
      <c r="A119" s="23" t="n">
        <v>106</v>
      </c>
      <c r="B119" s="1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7">
        <f>R119-Q119</f>
        <v/>
      </c>
      <c r="U119" s="7">
        <f>S119-Q119</f>
        <v/>
      </c>
      <c r="V119" s="1" t="n"/>
      <c r="W119" s="9">
        <f>S119-R119</f>
        <v/>
      </c>
      <c r="X119" s="9" t="n"/>
      <c r="AJ119" s="1" t="inlineStr">
        <is>
          <t>Cirugía Pediátrica - Estenosis pilórica</t>
        </is>
      </c>
      <c r="AM119">
        <f>_xlfn.TEXTJOIN(" + ", TRUE, I119:M119)</f>
        <v/>
      </c>
    </row>
    <row r="120">
      <c r="A120" s="23" t="n">
        <v>107</v>
      </c>
      <c r="B120" s="1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7">
        <f>R120-Q120</f>
        <v/>
      </c>
      <c r="U120" s="7">
        <f>S120-Q120</f>
        <v/>
      </c>
      <c r="V120" s="1" t="n"/>
      <c r="W120" s="9">
        <f>S120-R120</f>
        <v/>
      </c>
      <c r="X120" s="9" t="n"/>
      <c r="AJ120" s="1" t="inlineStr">
        <is>
          <t>Cirugía Pediátrica - Gastrostomía pediátrica</t>
        </is>
      </c>
      <c r="AM120">
        <f>_xlfn.TEXTJOIN(" + ", TRUE, I120:M120)</f>
        <v/>
      </c>
    </row>
    <row r="121">
      <c r="A121" s="23" t="n">
        <v>108</v>
      </c>
      <c r="B121" s="1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7">
        <f>R121-Q121</f>
        <v/>
      </c>
      <c r="U121" s="7">
        <f>S121-Q121</f>
        <v/>
      </c>
      <c r="V121" s="1" t="n"/>
      <c r="W121" s="9">
        <f>S121-R121</f>
        <v/>
      </c>
      <c r="X121" s="9" t="n"/>
      <c r="AJ121" s="1" t="inlineStr">
        <is>
          <t>Cirugía Pediátrica - Herniorrafia inguinal pediátrica</t>
        </is>
      </c>
      <c r="AM121">
        <f>_xlfn.TEXTJOIN(" + ", TRUE, I121:M121)</f>
        <v/>
      </c>
    </row>
    <row r="122">
      <c r="A122" s="23" t="n">
        <v>109</v>
      </c>
      <c r="B122" s="1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7">
        <f>R122-Q122</f>
        <v/>
      </c>
      <c r="U122" s="7">
        <f>S122-Q122</f>
        <v/>
      </c>
      <c r="V122" s="1" t="n"/>
      <c r="W122" s="9">
        <f>S122-R122</f>
        <v/>
      </c>
      <c r="X122" s="9" t="n"/>
      <c r="AJ122" s="1" t="inlineStr">
        <is>
          <t>Cirugía Pediátrica - Invaginación intestinal</t>
        </is>
      </c>
      <c r="AM122">
        <f>_xlfn.TEXTJOIN(" + ", TRUE, I122:M122)</f>
        <v/>
      </c>
    </row>
    <row r="123">
      <c r="A123" s="23" t="n">
        <v>110</v>
      </c>
      <c r="B123" s="1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7">
        <f>R123-Q123</f>
        <v/>
      </c>
      <c r="U123" s="7">
        <f>S123-Q123</f>
        <v/>
      </c>
      <c r="V123" s="1" t="n"/>
      <c r="W123" s="9">
        <f>S123-R123</f>
        <v/>
      </c>
      <c r="X123" s="9" t="n"/>
      <c r="AJ123" s="1" t="inlineStr">
        <is>
          <t>Cirugía Pediátrica - Malformaciones anorrectales</t>
        </is>
      </c>
      <c r="AM123">
        <f>_xlfn.TEXTJOIN(" + ", TRUE, I123:M123)</f>
        <v/>
      </c>
    </row>
    <row r="124">
      <c r="A124" s="23" t="n">
        <v>111</v>
      </c>
      <c r="B124" s="1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7">
        <f>R124-Q124</f>
        <v/>
      </c>
      <c r="U124" s="7">
        <f>S124-Q124</f>
        <v/>
      </c>
      <c r="V124" s="1" t="n"/>
      <c r="W124" s="9">
        <f>S124-R124</f>
        <v/>
      </c>
      <c r="X124" s="9" t="n"/>
      <c r="AJ124" s="1" t="inlineStr">
        <is>
          <t>Cirugía Pediátrica - Malformaciones congénitas</t>
        </is>
      </c>
      <c r="AM124">
        <f>_xlfn.TEXTJOIN(" + ", TRUE, I124:M124)</f>
        <v/>
      </c>
    </row>
    <row r="125">
      <c r="A125" s="23" t="n">
        <v>112</v>
      </c>
      <c r="B125" s="1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7">
        <f>R125-Q125</f>
        <v/>
      </c>
      <c r="U125" s="7">
        <f>S125-Q125</f>
        <v/>
      </c>
      <c r="V125" s="1" t="n"/>
      <c r="W125" s="9">
        <f>S125-R125</f>
        <v/>
      </c>
      <c r="X125" s="9" t="n"/>
      <c r="AJ125" s="1" t="inlineStr">
        <is>
          <t>Cirugía Pediátrica - Orquidopexia</t>
        </is>
      </c>
      <c r="AM125">
        <f>_xlfn.TEXTJOIN(" + ", TRUE, I125:M125)</f>
        <v/>
      </c>
    </row>
    <row r="126">
      <c r="A126" s="23" t="n">
        <v>113</v>
      </c>
      <c r="B126" s="1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7">
        <f>R126-Q126</f>
        <v/>
      </c>
      <c r="U126" s="7">
        <f>S126-Q126</f>
        <v/>
      </c>
      <c r="V126" s="1" t="n"/>
      <c r="W126" s="9">
        <f>S126-R126</f>
        <v/>
      </c>
      <c r="X126" s="9" t="n"/>
      <c r="AJ126" s="1" t="inlineStr">
        <is>
          <t>Cirugía Pediátrica - Piloromiotomía</t>
        </is>
      </c>
      <c r="AM126">
        <f>_xlfn.TEXTJOIN(" + ", TRUE, I126:M126)</f>
        <v/>
      </c>
    </row>
    <row r="127">
      <c r="A127" s="23" t="n">
        <v>114</v>
      </c>
      <c r="B127" s="1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7">
        <f>R127-Q127</f>
        <v/>
      </c>
      <c r="U127" s="7">
        <f>S127-Q127</f>
        <v/>
      </c>
      <c r="V127" s="1" t="n"/>
      <c r="W127" s="9">
        <f>S127-R127</f>
        <v/>
      </c>
      <c r="X127" s="9" t="n"/>
      <c r="AJ127" s="1" t="inlineStr">
        <is>
          <t>Cirugía Plástica y Reconstructiva - Abdominoplastia</t>
        </is>
      </c>
      <c r="AM127">
        <f>_xlfn.TEXTJOIN(" + ", TRUE, I127:M127)</f>
        <v/>
      </c>
    </row>
    <row r="128">
      <c r="A128" s="23" t="n">
        <v>115</v>
      </c>
      <c r="B128" s="1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7">
        <f>R128-Q128</f>
        <v/>
      </c>
      <c r="U128" s="7">
        <f>S128-Q128</f>
        <v/>
      </c>
      <c r="V128" s="1" t="n"/>
      <c r="W128" s="9">
        <f>S128-R128</f>
        <v/>
      </c>
      <c r="X128" s="9" t="n"/>
      <c r="AJ128" s="1" t="inlineStr">
        <is>
          <t>Cirugía Plástica y Reconstructiva - Blefaroplastia</t>
        </is>
      </c>
      <c r="AM128">
        <f>_xlfn.TEXTJOIN(" + ", TRUE, I128:M128)</f>
        <v/>
      </c>
    </row>
    <row r="129">
      <c r="A129" s="23" t="n">
        <v>116</v>
      </c>
      <c r="B129" s="1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7">
        <f>R129-Q129</f>
        <v/>
      </c>
      <c r="U129" s="7">
        <f>S129-Q129</f>
        <v/>
      </c>
      <c r="V129" s="1" t="n"/>
      <c r="W129" s="9">
        <f>S129-R129</f>
        <v/>
      </c>
      <c r="X129" s="9" t="n"/>
      <c r="AJ129" s="1" t="inlineStr">
        <is>
          <t>Cirugía Plástica y Reconstructiva - Colgajo cutáneo</t>
        </is>
      </c>
      <c r="AM129">
        <f>_xlfn.TEXTJOIN(" + ", TRUE, I129:M129)</f>
        <v/>
      </c>
    </row>
    <row r="130">
      <c r="A130" s="23" t="n">
        <v>117</v>
      </c>
      <c r="B130" s="1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7">
        <f>R130-Q130</f>
        <v/>
      </c>
      <c r="U130" s="7">
        <f>S130-Q130</f>
        <v/>
      </c>
      <c r="V130" s="1" t="n"/>
      <c r="W130" s="9">
        <f>S130-R130</f>
        <v/>
      </c>
      <c r="X130" s="9" t="n"/>
      <c r="AJ130" s="1" t="inlineStr">
        <is>
          <t>Cirugía Plástica y Reconstructiva - Injerto de piel</t>
        </is>
      </c>
      <c r="AM130">
        <f>_xlfn.TEXTJOIN(" + ", TRUE, I130:M130)</f>
        <v/>
      </c>
    </row>
    <row r="131">
      <c r="A131" s="23" t="n">
        <v>118</v>
      </c>
      <c r="B131" s="1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7">
        <f>R131-Q131</f>
        <v/>
      </c>
      <c r="U131" s="7">
        <f>S131-Q131</f>
        <v/>
      </c>
      <c r="V131" s="1" t="n"/>
      <c r="W131" s="9">
        <f>S131-R131</f>
        <v/>
      </c>
      <c r="X131" s="9" t="n"/>
      <c r="AJ131" s="1" t="inlineStr">
        <is>
          <t>Cirugía Plástica y Reconstructiva - Lavado y desbridamiento por quemadura</t>
        </is>
      </c>
      <c r="AM131">
        <f>_xlfn.TEXTJOIN(" + ", TRUE, I131:M131)</f>
        <v/>
      </c>
    </row>
    <row r="132">
      <c r="A132" s="23" t="n">
        <v>119</v>
      </c>
      <c r="B132" s="1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7">
        <f>R132-Q132</f>
        <v/>
      </c>
      <c r="U132" s="7">
        <f>S132-Q132</f>
        <v/>
      </c>
      <c r="V132" s="1" t="n"/>
      <c r="W132" s="9">
        <f>S132-R132</f>
        <v/>
      </c>
      <c r="X132" s="9" t="n"/>
      <c r="AJ132" s="1" t="inlineStr">
        <is>
          <t>Cirugía Plástica y Reconstructiva - Mamoplastia reductora</t>
        </is>
      </c>
      <c r="AM132">
        <f>_xlfn.TEXTJOIN(" + ", TRUE, I132:M132)</f>
        <v/>
      </c>
    </row>
    <row r="133">
      <c r="A133" s="23" t="n">
        <v>120</v>
      </c>
      <c r="B133" s="1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7">
        <f>R133-Q133</f>
        <v/>
      </c>
      <c r="U133" s="7">
        <f>S133-Q133</f>
        <v/>
      </c>
      <c r="V133" s="1" t="n"/>
      <c r="W133" s="9">
        <f>S133-R133</f>
        <v/>
      </c>
      <c r="X133" s="9" t="n"/>
      <c r="AJ133" s="1" t="inlineStr">
        <is>
          <t>Cirugía Plástica y Reconstructiva - Manejo de quemaduras</t>
        </is>
      </c>
      <c r="AM133">
        <f>_xlfn.TEXTJOIN(" + ", TRUE, I133:M133)</f>
        <v/>
      </c>
    </row>
    <row r="134">
      <c r="A134" s="23" t="n">
        <v>121</v>
      </c>
      <c r="B134" s="1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7">
        <f>R134-Q134</f>
        <v/>
      </c>
      <c r="U134" s="7">
        <f>S134-Q134</f>
        <v/>
      </c>
      <c r="V134" s="1" t="n"/>
      <c r="W134" s="9">
        <f>S134-R134</f>
        <v/>
      </c>
      <c r="X134" s="9" t="n"/>
      <c r="AJ134" s="1" t="inlineStr">
        <is>
          <t>Cirugía Plástica y Reconstructiva - Otoplastia</t>
        </is>
      </c>
      <c r="AM134">
        <f>_xlfn.TEXTJOIN(" + ", TRUE, I134:M134)</f>
        <v/>
      </c>
    </row>
    <row r="135">
      <c r="A135" s="23" t="n">
        <v>122</v>
      </c>
      <c r="B135" s="1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7">
        <f>R135-Q135</f>
        <v/>
      </c>
      <c r="U135" s="7">
        <f>S135-Q135</f>
        <v/>
      </c>
      <c r="V135" s="1" t="n"/>
      <c r="W135" s="9">
        <f>S135-R135</f>
        <v/>
      </c>
      <c r="X135" s="9" t="n"/>
      <c r="AJ135" s="1" t="inlineStr">
        <is>
          <t>Cirugía Plástica y Reconstructiva - Reconstrucción facial</t>
        </is>
      </c>
      <c r="AM135">
        <f>_xlfn.TEXTJOIN(" + ", TRUE, I135:M135)</f>
        <v/>
      </c>
    </row>
    <row r="136">
      <c r="A136" s="23" t="n">
        <v>123</v>
      </c>
      <c r="B136" s="1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7">
        <f>R136-Q136</f>
        <v/>
      </c>
      <c r="U136" s="7">
        <f>S136-Q136</f>
        <v/>
      </c>
      <c r="V136" s="1" t="n"/>
      <c r="W136" s="9">
        <f>S136-R136</f>
        <v/>
      </c>
      <c r="X136" s="9" t="n"/>
      <c r="AJ136" s="1" t="inlineStr">
        <is>
          <t>Cirugía Plástica y Reconstructiva - Reconstrucción mamaria</t>
        </is>
      </c>
      <c r="AM136">
        <f>_xlfn.TEXTJOIN(" + ", TRUE, I136:M136)</f>
        <v/>
      </c>
    </row>
    <row r="137">
      <c r="A137" s="23" t="n">
        <v>124</v>
      </c>
      <c r="B137" s="1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7">
        <f>R137-Q137</f>
        <v/>
      </c>
      <c r="U137" s="7">
        <f>S137-Q137</f>
        <v/>
      </c>
      <c r="V137" s="1" t="n"/>
      <c r="W137" s="9">
        <f>S137-R137</f>
        <v/>
      </c>
      <c r="X137" s="9" t="n"/>
      <c r="AJ137" s="1" t="inlineStr">
        <is>
          <t>Cirugía Plástica y Reconstructiva - Reparación de lesiones complejas</t>
        </is>
      </c>
      <c r="AM137">
        <f>_xlfn.TEXTJOIN(" + ", TRUE, I137:M137)</f>
        <v/>
      </c>
    </row>
    <row r="138">
      <c r="A138" s="23" t="n">
        <v>125</v>
      </c>
      <c r="B138" s="1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7">
        <f>R138-Q138</f>
        <v/>
      </c>
      <c r="U138" s="7">
        <f>S138-Q138</f>
        <v/>
      </c>
      <c r="V138" s="1" t="n"/>
      <c r="W138" s="9">
        <f>S138-R138</f>
        <v/>
      </c>
      <c r="X138" s="9" t="n"/>
      <c r="AJ138" s="1" t="inlineStr">
        <is>
          <t>Cirugía Torácica - Decorticación pleural</t>
        </is>
      </c>
      <c r="AM138">
        <f>_xlfn.TEXTJOIN(" + ", TRUE, I138:M138)</f>
        <v/>
      </c>
    </row>
    <row r="139">
      <c r="A139" s="23" t="n">
        <v>126</v>
      </c>
      <c r="B139" s="1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7">
        <f>R139-Q139</f>
        <v/>
      </c>
      <c r="U139" s="7">
        <f>S139-Q139</f>
        <v/>
      </c>
      <c r="V139" s="1" t="n"/>
      <c r="W139" s="9">
        <f>S139-R139</f>
        <v/>
      </c>
      <c r="X139" s="9" t="n"/>
      <c r="AJ139" s="1" t="inlineStr">
        <is>
          <t>Cirugía Torácica - Decorticación pulmonar</t>
        </is>
      </c>
      <c r="AM139">
        <f>_xlfn.TEXTJOIN(" + ", TRUE, I139:M139)</f>
        <v/>
      </c>
    </row>
    <row r="140">
      <c r="A140" s="23" t="n">
        <v>127</v>
      </c>
      <c r="B140" s="1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7">
        <f>R140-Q140</f>
        <v/>
      </c>
      <c r="U140" s="7">
        <f>S140-Q140</f>
        <v/>
      </c>
      <c r="V140" s="1" t="n"/>
      <c r="W140" s="9">
        <f>S140-R140</f>
        <v/>
      </c>
      <c r="X140" s="9" t="n"/>
      <c r="AJ140" s="1" t="inlineStr">
        <is>
          <t>Cirugía Torácica - Drenaje torácico</t>
        </is>
      </c>
      <c r="AM140">
        <f>_xlfn.TEXTJOIN(" + ", TRUE, I140:M140)</f>
        <v/>
      </c>
    </row>
    <row r="141">
      <c r="A141" s="23" t="n">
        <v>128</v>
      </c>
      <c r="B141" s="1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7">
        <f>R141-Q141</f>
        <v/>
      </c>
      <c r="U141" s="7">
        <f>S141-Q141</f>
        <v/>
      </c>
      <c r="V141" s="1" t="n"/>
      <c r="W141" s="9">
        <f>S141-R141</f>
        <v/>
      </c>
      <c r="X141" s="9" t="n"/>
      <c r="AJ141" s="1" t="inlineStr">
        <is>
          <t>Cirugía Torácica - Lobectomía pulmonar</t>
        </is>
      </c>
      <c r="AM141">
        <f>_xlfn.TEXTJOIN(" + ", TRUE, I141:M141)</f>
        <v/>
      </c>
    </row>
    <row r="142">
      <c r="A142" s="23" t="n">
        <v>129</v>
      </c>
      <c r="B142" s="1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7">
        <f>R142-Q142</f>
        <v/>
      </c>
      <c r="U142" s="7">
        <f>S142-Q142</f>
        <v/>
      </c>
      <c r="V142" s="1" t="n"/>
      <c r="W142" s="9">
        <f>S142-R142</f>
        <v/>
      </c>
      <c r="X142" s="9" t="n"/>
      <c r="AJ142" s="1" t="inlineStr">
        <is>
          <t>Cirugía Torácica - Mediastinoscopia</t>
        </is>
      </c>
      <c r="AM142">
        <f>_xlfn.TEXTJOIN(" + ", TRUE, I142:M142)</f>
        <v/>
      </c>
    </row>
    <row r="143">
      <c r="A143" s="23" t="n">
        <v>130</v>
      </c>
      <c r="B143" s="1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7">
        <f>R143-Q143</f>
        <v/>
      </c>
      <c r="U143" s="7">
        <f>S143-Q143</f>
        <v/>
      </c>
      <c r="V143" s="1" t="n"/>
      <c r="W143" s="9">
        <f>S143-R143</f>
        <v/>
      </c>
      <c r="X143" s="9" t="n"/>
      <c r="AJ143" s="1" t="inlineStr">
        <is>
          <t>Cirugía Torácica - Neumonectomía</t>
        </is>
      </c>
      <c r="AM143">
        <f>_xlfn.TEXTJOIN(" + ", TRUE, I143:M143)</f>
        <v/>
      </c>
    </row>
    <row r="144">
      <c r="A144" s="23" t="n">
        <v>131</v>
      </c>
      <c r="B144" s="1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7">
        <f>R144-Q144</f>
        <v/>
      </c>
      <c r="U144" s="7">
        <f>S144-Q144</f>
        <v/>
      </c>
      <c r="V144" s="1" t="n"/>
      <c r="W144" s="9">
        <f>S144-R144</f>
        <v/>
      </c>
      <c r="X144" s="9" t="n"/>
      <c r="AJ144" s="1" t="inlineStr">
        <is>
          <t>Cirugía Torácica - Pleurodesis</t>
        </is>
      </c>
      <c r="AM144">
        <f>_xlfn.TEXTJOIN(" + ", TRUE, I144:M144)</f>
        <v/>
      </c>
    </row>
    <row r="145">
      <c r="A145" s="23" t="n">
        <v>132</v>
      </c>
      <c r="B145" s="1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7">
        <f>R145-Q145</f>
        <v/>
      </c>
      <c r="U145" s="7">
        <f>S145-Q145</f>
        <v/>
      </c>
      <c r="V145" s="1" t="n"/>
      <c r="W145" s="9">
        <f>S145-R145</f>
        <v/>
      </c>
      <c r="X145" s="9" t="n"/>
      <c r="AJ145" s="1" t="inlineStr">
        <is>
          <t>Cirugía Torácica - Resección de tumores mediastinales</t>
        </is>
      </c>
      <c r="AM145">
        <f>_xlfn.TEXTJOIN(" + ", TRUE, I145:M145)</f>
        <v/>
      </c>
    </row>
    <row r="146">
      <c r="A146" s="23" t="n">
        <v>133</v>
      </c>
      <c r="B146" s="1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7">
        <f>R146-Q146</f>
        <v/>
      </c>
      <c r="U146" s="7">
        <f>S146-Q146</f>
        <v/>
      </c>
      <c r="V146" s="1" t="n"/>
      <c r="W146" s="9">
        <f>S146-R146</f>
        <v/>
      </c>
      <c r="X146" s="9" t="n"/>
      <c r="AJ146" s="1" t="inlineStr">
        <is>
          <t>Cirugía Torácica - Toracotomía</t>
        </is>
      </c>
      <c r="AM146">
        <f>_xlfn.TEXTJOIN(" + ", TRUE, I146:M146)</f>
        <v/>
      </c>
    </row>
    <row r="147">
      <c r="A147" s="23" t="n">
        <v>134</v>
      </c>
      <c r="B147" s="1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7">
        <f>R147-Q147</f>
        <v/>
      </c>
      <c r="U147" s="7">
        <f>S147-Q147</f>
        <v/>
      </c>
      <c r="V147" s="1" t="n"/>
      <c r="W147" s="9">
        <f>S147-R147</f>
        <v/>
      </c>
      <c r="X147" s="9" t="n"/>
      <c r="AJ147" s="1" t="inlineStr">
        <is>
          <t>Cirugía Vascular - Bypass femoropoplíteo</t>
        </is>
      </c>
      <c r="AM147">
        <f>_xlfn.TEXTJOIN(" + ", TRUE, I147:M147)</f>
        <v/>
      </c>
    </row>
    <row r="148">
      <c r="A148" s="23" t="n">
        <v>135</v>
      </c>
      <c r="B148" s="1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7">
        <f>R148-Q148</f>
        <v/>
      </c>
      <c r="U148" s="7">
        <f>S148-Q148</f>
        <v/>
      </c>
      <c r="V148" s="1" t="n"/>
      <c r="W148" s="9">
        <f>S148-R148</f>
        <v/>
      </c>
      <c r="X148" s="9" t="n"/>
      <c r="AJ148" s="1" t="inlineStr">
        <is>
          <t>Cirugía Vascular - Embolectomía</t>
        </is>
      </c>
      <c r="AM148">
        <f>_xlfn.TEXTJOIN(" + ", TRUE, I148:M148)</f>
        <v/>
      </c>
    </row>
    <row r="149">
      <c r="A149" s="23" t="n">
        <v>136</v>
      </c>
      <c r="B149" s="1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7">
        <f>R149-Q149</f>
        <v/>
      </c>
      <c r="U149" s="7">
        <f>S149-Q149</f>
        <v/>
      </c>
      <c r="V149" s="1" t="n"/>
      <c r="W149" s="9">
        <f>S149-R149</f>
        <v/>
      </c>
      <c r="X149" s="9" t="n"/>
      <c r="AJ149" s="1" t="inlineStr">
        <is>
          <t>Cirugía Vascular - Fístula arteriovenosa</t>
        </is>
      </c>
      <c r="AM149">
        <f>_xlfn.TEXTJOIN(" + ", TRUE, I149:M149)</f>
        <v/>
      </c>
    </row>
    <row r="150">
      <c r="A150" s="23" t="n">
        <v>137</v>
      </c>
      <c r="B150" s="1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7">
        <f>R150-Q150</f>
        <v/>
      </c>
      <c r="U150" s="7">
        <f>S150-Q150</f>
        <v/>
      </c>
      <c r="V150" s="1" t="n"/>
      <c r="W150" s="9">
        <f>S150-R150</f>
        <v/>
      </c>
      <c r="X150" s="9" t="n"/>
      <c r="AJ150" s="1" t="inlineStr">
        <is>
          <t>Cirugía Vascular - Reparación vascular</t>
        </is>
      </c>
      <c r="AM150">
        <f>_xlfn.TEXTJOIN(" + ", TRUE, I150:M150)</f>
        <v/>
      </c>
    </row>
    <row r="151">
      <c r="A151" s="23" t="n">
        <v>138</v>
      </c>
      <c r="B151" s="1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7">
        <f>R151-Q151</f>
        <v/>
      </c>
      <c r="U151" s="7">
        <f>S151-Q151</f>
        <v/>
      </c>
      <c r="V151" s="1" t="n"/>
      <c r="W151" s="9">
        <f>S151-R151</f>
        <v/>
      </c>
      <c r="X151" s="9" t="n"/>
      <c r="AJ151" s="1" t="inlineStr">
        <is>
          <t>Cirugía Vascular - Trombectomía</t>
        </is>
      </c>
      <c r="AM151">
        <f>_xlfn.TEXTJOIN(" + ", TRUE, I151:M151)</f>
        <v/>
      </c>
    </row>
    <row r="152">
      <c r="A152" s="23" t="n">
        <v>139</v>
      </c>
      <c r="B152" s="1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7">
        <f>R152-Q152</f>
        <v/>
      </c>
      <c r="U152" s="7">
        <f>S152-Q152</f>
        <v/>
      </c>
      <c r="V152" s="1" t="n"/>
      <c r="W152" s="9">
        <f>S152-R152</f>
        <v/>
      </c>
      <c r="X152" s="9" t="n"/>
      <c r="AJ152" s="1" t="inlineStr">
        <is>
          <t>Cirugía Vascular - Varicectomía</t>
        </is>
      </c>
      <c r="AM152">
        <f>_xlfn.TEXTJOIN(" + ", TRUE, I152:M152)</f>
        <v/>
      </c>
    </row>
    <row r="153">
      <c r="A153" s="23" t="n">
        <v>140</v>
      </c>
      <c r="B153" s="1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7">
        <f>R153-Q153</f>
        <v/>
      </c>
      <c r="U153" s="7">
        <f>S153-Q153</f>
        <v/>
      </c>
      <c r="V153" s="1" t="n"/>
      <c r="W153" s="9">
        <f>S153-R153</f>
        <v/>
      </c>
      <c r="X153" s="9" t="n"/>
      <c r="AJ153" s="1" t="inlineStr">
        <is>
          <t>Gastroenterología - Gastroscopía</t>
        </is>
      </c>
      <c r="AM153">
        <f>_xlfn.TEXTJOIN(" + ", TRUE, I153:M153)</f>
        <v/>
      </c>
    </row>
    <row r="154">
      <c r="A154" s="23" t="n">
        <v>141</v>
      </c>
      <c r="B154" s="1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7">
        <f>R154-Q154</f>
        <v/>
      </c>
      <c r="U154" s="7">
        <f>S154-Q154</f>
        <v/>
      </c>
      <c r="V154" s="1" t="n"/>
      <c r="W154" s="9">
        <f>S154-R154</f>
        <v/>
      </c>
      <c r="X154" s="9" t="n"/>
      <c r="AJ154" s="1" t="inlineStr">
        <is>
          <t>Ginecología y Obstetricia - Aspiración manual endouterina</t>
        </is>
      </c>
      <c r="AM154">
        <f>_xlfn.TEXTJOIN(" + ", TRUE, I154:M154)</f>
        <v/>
      </c>
    </row>
    <row r="155">
      <c r="A155" s="23" t="n">
        <v>142</v>
      </c>
      <c r="B155" s="1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7">
        <f>R155-Q155</f>
        <v/>
      </c>
      <c r="U155" s="7">
        <f>S155-Q155</f>
        <v/>
      </c>
      <c r="V155" s="1" t="n"/>
      <c r="W155" s="9">
        <f>S155-R155</f>
        <v/>
      </c>
      <c r="X155" s="9" t="n"/>
      <c r="AJ155" s="1" t="inlineStr">
        <is>
          <t>Ginecología y Obstetricia - Biopsia cervical</t>
        </is>
      </c>
      <c r="AM155">
        <f>_xlfn.TEXTJOIN(" + ", TRUE, I155:M155)</f>
        <v/>
      </c>
    </row>
    <row r="156">
      <c r="A156" s="23" t="n">
        <v>143</v>
      </c>
      <c r="B156" s="1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7">
        <f>R156-Q156</f>
        <v/>
      </c>
      <c r="U156" s="7">
        <f>S156-Q156</f>
        <v/>
      </c>
      <c r="V156" s="1" t="n"/>
      <c r="W156" s="9">
        <f>S156-R156</f>
        <v/>
      </c>
      <c r="X156" s="9" t="n"/>
      <c r="AJ156" s="1" t="inlineStr">
        <is>
          <t>Ginecología y Obstetricia - Cerclaje cervical</t>
        </is>
      </c>
      <c r="AM156">
        <f>_xlfn.TEXTJOIN(" + ", TRUE, I156:M156)</f>
        <v/>
      </c>
    </row>
    <row r="157">
      <c r="A157" s="23" t="n">
        <v>144</v>
      </c>
      <c r="B157" s="1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7">
        <f>R157-Q157</f>
        <v/>
      </c>
      <c r="U157" s="7">
        <f>S157-Q157</f>
        <v/>
      </c>
      <c r="V157" s="1" t="n"/>
      <c r="W157" s="9">
        <f>S157-R157</f>
        <v/>
      </c>
      <c r="X157" s="9" t="n"/>
      <c r="AJ157" s="1" t="inlineStr">
        <is>
          <t>Ginecología y Obstetricia - Cesárea</t>
        </is>
      </c>
      <c r="AM157">
        <f>_xlfn.TEXTJOIN(" + ", TRUE, I157:M157)</f>
        <v/>
      </c>
    </row>
    <row r="158">
      <c r="A158" s="23" t="n">
        <v>145</v>
      </c>
      <c r="B158" s="1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7">
        <f>R158-Q158</f>
        <v/>
      </c>
      <c r="U158" s="7">
        <f>S158-Q158</f>
        <v/>
      </c>
      <c r="V158" s="1" t="n"/>
      <c r="W158" s="9">
        <f>S158-R158</f>
        <v/>
      </c>
      <c r="X158" s="9" t="n"/>
      <c r="AJ158" s="1" t="inlineStr">
        <is>
          <t>Ginecología y Obstetricia - Cirugía por prolapso genital</t>
        </is>
      </c>
      <c r="AM158">
        <f>_xlfn.TEXTJOIN(" + ", TRUE, I158:M158)</f>
        <v/>
      </c>
    </row>
    <row r="159">
      <c r="A159" s="23" t="n">
        <v>146</v>
      </c>
      <c r="B159" s="1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7">
        <f>R159-Q159</f>
        <v/>
      </c>
      <c r="U159" s="7">
        <f>S159-Q159</f>
        <v/>
      </c>
      <c r="V159" s="1" t="n"/>
      <c r="W159" s="9">
        <f>S159-R159</f>
        <v/>
      </c>
      <c r="X159" s="9" t="n"/>
      <c r="AJ159" s="1" t="inlineStr">
        <is>
          <t>Ginecología y Obstetricia - Colporrafia anterior</t>
        </is>
      </c>
      <c r="AM159">
        <f>_xlfn.TEXTJOIN(" + ", TRUE, I159:M159)</f>
        <v/>
      </c>
    </row>
    <row r="160">
      <c r="A160" s="23" t="n">
        <v>147</v>
      </c>
      <c r="B160" s="1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7">
        <f>R160-Q160</f>
        <v/>
      </c>
      <c r="U160" s="7">
        <f>S160-Q160</f>
        <v/>
      </c>
      <c r="V160" s="1" t="n"/>
      <c r="W160" s="9">
        <f>S160-R160</f>
        <v/>
      </c>
      <c r="X160" s="9" t="n"/>
      <c r="AJ160" s="1" t="inlineStr">
        <is>
          <t>Ginecología y Obstetricia - Colporrafia posterior</t>
        </is>
      </c>
      <c r="AM160">
        <f>_xlfn.TEXTJOIN(" + ", TRUE, I160:M160)</f>
        <v/>
      </c>
    </row>
    <row r="161">
      <c r="A161" s="23" t="n">
        <v>148</v>
      </c>
      <c r="B161" s="1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7">
        <f>R161-Q161</f>
        <v/>
      </c>
      <c r="U161" s="7">
        <f>S161-Q161</f>
        <v/>
      </c>
      <c r="V161" s="1" t="n"/>
      <c r="W161" s="9">
        <f>S161-R161</f>
        <v/>
      </c>
      <c r="X161" s="9" t="n"/>
      <c r="AJ161" s="1" t="inlineStr">
        <is>
          <t>Ginecología y Obstetricia - Conización cervical</t>
        </is>
      </c>
      <c r="AM161">
        <f>_xlfn.TEXTJOIN(" + ", TRUE, I161:M161)</f>
        <v/>
      </c>
    </row>
    <row r="162">
      <c r="A162" s="23" t="n">
        <v>149</v>
      </c>
      <c r="B162" s="1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7">
        <f>R162-Q162</f>
        <v/>
      </c>
      <c r="U162" s="7">
        <f>S162-Q162</f>
        <v/>
      </c>
      <c r="V162" s="1" t="n"/>
      <c r="W162" s="9">
        <f>S162-R162</f>
        <v/>
      </c>
      <c r="X162" s="9" t="n"/>
      <c r="AJ162" s="1" t="inlineStr">
        <is>
          <t>Ginecología y Obstetricia - Embarazo ectópico</t>
        </is>
      </c>
      <c r="AM162">
        <f>_xlfn.TEXTJOIN(" + ", TRUE, I162:M162)</f>
        <v/>
      </c>
    </row>
    <row r="163">
      <c r="A163" s="23" t="n">
        <v>150</v>
      </c>
      <c r="B163" s="1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7">
        <f>R163-Q163</f>
        <v/>
      </c>
      <c r="U163" s="7">
        <f>S163-Q163</f>
        <v/>
      </c>
      <c r="V163" s="1" t="n"/>
      <c r="W163" s="9">
        <f>S163-R163</f>
        <v/>
      </c>
      <c r="X163" s="9" t="n"/>
      <c r="AJ163" s="1" t="inlineStr">
        <is>
          <t>Ginecología y Obstetricia - Histerectomía abdominal</t>
        </is>
      </c>
      <c r="AM163">
        <f>_xlfn.TEXTJOIN(" + ", TRUE, I163:M163)</f>
        <v/>
      </c>
    </row>
    <row r="164">
      <c r="A164" s="23" t="n">
        <v>151</v>
      </c>
      <c r="B164" s="1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7">
        <f>R164-Q164</f>
        <v/>
      </c>
      <c r="U164" s="7">
        <f>S164-Q164</f>
        <v/>
      </c>
      <c r="V164" s="1" t="n"/>
      <c r="W164" s="9">
        <f>S164-R164</f>
        <v/>
      </c>
      <c r="X164" s="9" t="n"/>
      <c r="AJ164" s="1" t="inlineStr">
        <is>
          <t>Ginecología y Obstetricia - Histerectomía laparoscópica</t>
        </is>
      </c>
      <c r="AM164">
        <f>_xlfn.TEXTJOIN(" + ", TRUE, I164:M164)</f>
        <v/>
      </c>
    </row>
    <row r="165">
      <c r="A165" s="23" t="n">
        <v>152</v>
      </c>
      <c r="B165" s="1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7">
        <f>R165-Q165</f>
        <v/>
      </c>
      <c r="U165" s="7">
        <f>S165-Q165</f>
        <v/>
      </c>
      <c r="V165" s="1" t="n"/>
      <c r="W165" s="9">
        <f>S165-R165</f>
        <v/>
      </c>
      <c r="X165" s="9" t="n"/>
      <c r="AJ165" s="1" t="inlineStr">
        <is>
          <t>Ginecología y Obstetricia - Histerectomía quirúrgica</t>
        </is>
      </c>
      <c r="AM165">
        <f>_xlfn.TEXTJOIN(" + ", TRUE, I165:M165)</f>
        <v/>
      </c>
    </row>
    <row r="166">
      <c r="A166" s="23" t="n">
        <v>153</v>
      </c>
      <c r="B166" s="1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7">
        <f>R166-Q166</f>
        <v/>
      </c>
      <c r="U166" s="7">
        <f>S166-Q166</f>
        <v/>
      </c>
      <c r="V166" s="1" t="n"/>
      <c r="W166" s="9">
        <f>S166-R166</f>
        <v/>
      </c>
      <c r="X166" s="9" t="n"/>
      <c r="AJ166" s="1" t="inlineStr">
        <is>
          <t>Ginecología y Obstetricia - Histerectomía vaginal</t>
        </is>
      </c>
      <c r="AM166">
        <f>_xlfn.TEXTJOIN(" + ", TRUE, I166:M166)</f>
        <v/>
      </c>
    </row>
    <row r="167">
      <c r="A167" s="23" t="n">
        <v>154</v>
      </c>
      <c r="B167" s="1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7">
        <f>R167-Q167</f>
        <v/>
      </c>
      <c r="U167" s="7">
        <f>S167-Q167</f>
        <v/>
      </c>
      <c r="V167" s="1" t="n"/>
      <c r="W167" s="9">
        <f>S167-R167</f>
        <v/>
      </c>
      <c r="X167" s="9" t="n"/>
      <c r="AJ167" s="1" t="inlineStr">
        <is>
          <t>Ginecología y Obstetricia - Laparoscopía ginecológica</t>
        </is>
      </c>
      <c r="AM167">
        <f>_xlfn.TEXTJOIN(" + ", TRUE, I167:M167)</f>
        <v/>
      </c>
    </row>
    <row r="168">
      <c r="A168" s="23" t="n">
        <v>155</v>
      </c>
      <c r="B168" s="1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7">
        <f>R168-Q168</f>
        <v/>
      </c>
      <c r="U168" s="7">
        <f>S168-Q168</f>
        <v/>
      </c>
      <c r="V168" s="1" t="n"/>
      <c r="W168" s="9">
        <f>S168-R168</f>
        <v/>
      </c>
      <c r="X168" s="9" t="n"/>
      <c r="AJ168" s="1" t="inlineStr">
        <is>
          <t>Ginecología y Obstetricia - Legrado uterino</t>
        </is>
      </c>
      <c r="AM168">
        <f>_xlfn.TEXTJOIN(" + ", TRUE, I168:M168)</f>
        <v/>
      </c>
    </row>
    <row r="169">
      <c r="A169" s="23" t="n">
        <v>156</v>
      </c>
      <c r="B169" s="1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7">
        <f>R169-Q169</f>
        <v/>
      </c>
      <c r="U169" s="7">
        <f>S169-Q169</f>
        <v/>
      </c>
      <c r="V169" s="1" t="n"/>
      <c r="W169" s="9">
        <f>S169-R169</f>
        <v/>
      </c>
      <c r="X169" s="9" t="n"/>
      <c r="AJ169" s="1" t="inlineStr">
        <is>
          <t>Ginecología y Obstetricia - Ligadura de trompas</t>
        </is>
      </c>
      <c r="AM169">
        <f>_xlfn.TEXTJOIN(" + ", TRUE, I169:M169)</f>
        <v/>
      </c>
    </row>
    <row r="170">
      <c r="A170" s="23" t="n">
        <v>157</v>
      </c>
      <c r="B170" s="1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7">
        <f>R170-Q170</f>
        <v/>
      </c>
      <c r="U170" s="7">
        <f>S170-Q170</f>
        <v/>
      </c>
      <c r="V170" s="1" t="n"/>
      <c r="W170" s="9">
        <f>S170-R170</f>
        <v/>
      </c>
      <c r="X170" s="9" t="n"/>
      <c r="AJ170" s="1" t="inlineStr">
        <is>
          <t>Ginecología y Obstetricia - Ligadura tubárica</t>
        </is>
      </c>
      <c r="AM170">
        <f>_xlfn.TEXTJOIN(" + ", TRUE, I170:M170)</f>
        <v/>
      </c>
    </row>
    <row r="171">
      <c r="A171" s="23" t="n">
        <v>158</v>
      </c>
      <c r="B171" s="1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7">
        <f>R171-Q171</f>
        <v/>
      </c>
      <c r="U171" s="7">
        <f>S171-Q171</f>
        <v/>
      </c>
      <c r="V171" s="1" t="n"/>
      <c r="W171" s="9">
        <f>S171-R171</f>
        <v/>
      </c>
      <c r="X171" s="9" t="n"/>
      <c r="AJ171" s="1" t="inlineStr">
        <is>
          <t>Ginecología y Obstetricia - Marsupialización de quiste de Bartolino</t>
        </is>
      </c>
      <c r="AM171">
        <f>_xlfn.TEXTJOIN(" + ", TRUE, I171:M171)</f>
        <v/>
      </c>
    </row>
    <row r="172">
      <c r="A172" s="23" t="n">
        <v>159</v>
      </c>
      <c r="B172" s="1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7">
        <f>R172-Q172</f>
        <v/>
      </c>
      <c r="U172" s="7">
        <f>S172-Q172</f>
        <v/>
      </c>
      <c r="V172" s="1" t="n"/>
      <c r="W172" s="9">
        <f>S172-R172</f>
        <v/>
      </c>
      <c r="X172" s="9" t="n"/>
      <c r="AJ172" s="1" t="inlineStr">
        <is>
          <t>Ginecología y Obstetricia - Miomectomía</t>
        </is>
      </c>
      <c r="AM172">
        <f>_xlfn.TEXTJOIN(" + ", TRUE, I172:M172)</f>
        <v/>
      </c>
    </row>
    <row r="173">
      <c r="A173" s="23" t="n">
        <v>160</v>
      </c>
      <c r="B173" s="1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7">
        <f>R173-Q173</f>
        <v/>
      </c>
      <c r="U173" s="7">
        <f>S173-Q173</f>
        <v/>
      </c>
      <c r="V173" s="1" t="n"/>
      <c r="W173" s="9">
        <f>S173-R173</f>
        <v/>
      </c>
      <c r="X173" s="9" t="n"/>
      <c r="AJ173" s="1" t="inlineStr">
        <is>
          <t>Ginecología y Obstetricia - Ooforectomía</t>
        </is>
      </c>
      <c r="AM173">
        <f>_xlfn.TEXTJOIN(" + ", TRUE, I173:M173)</f>
        <v/>
      </c>
    </row>
    <row r="174">
      <c r="A174" s="23" t="n">
        <v>161</v>
      </c>
      <c r="B174" s="1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7">
        <f>R174-Q174</f>
        <v/>
      </c>
      <c r="U174" s="7">
        <f>S174-Q174</f>
        <v/>
      </c>
      <c r="V174" s="1" t="n"/>
      <c r="W174" s="9">
        <f>S174-R174</f>
        <v/>
      </c>
      <c r="X174" s="9" t="n"/>
      <c r="AJ174" s="1" t="inlineStr">
        <is>
          <t>Ginecología y Obstetricia - Quistectomía ovárica</t>
        </is>
      </c>
      <c r="AM174">
        <f>_xlfn.TEXTJOIN(" + ", TRUE, I174:M174)</f>
        <v/>
      </c>
    </row>
    <row r="175">
      <c r="A175" s="23" t="n">
        <v>162</v>
      </c>
      <c r="B175" s="1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7">
        <f>R175-Q175</f>
        <v/>
      </c>
      <c r="U175" s="7">
        <f>S175-Q175</f>
        <v/>
      </c>
      <c r="V175" s="1" t="n"/>
      <c r="W175" s="9">
        <f>S175-R175</f>
        <v/>
      </c>
      <c r="X175" s="9" t="n"/>
      <c r="AJ175" s="1" t="inlineStr">
        <is>
          <t>Ginecología y Obstetricia - Reparación de desgarros obstétricos</t>
        </is>
      </c>
      <c r="AM175">
        <f>_xlfn.TEXTJOIN(" + ", TRUE, I175:M175)</f>
        <v/>
      </c>
    </row>
    <row r="176">
      <c r="A176" s="23" t="n">
        <v>163</v>
      </c>
      <c r="B176" s="1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7">
        <f>R176-Q176</f>
        <v/>
      </c>
      <c r="U176" s="7">
        <f>S176-Q176</f>
        <v/>
      </c>
      <c r="V176" s="1" t="n"/>
      <c r="W176" s="9">
        <f>S176-R176</f>
        <v/>
      </c>
      <c r="X176" s="9" t="n"/>
      <c r="AJ176" s="1" t="inlineStr">
        <is>
          <t>Ginecología y Obstetricia - Reparación de prolapso uterino</t>
        </is>
      </c>
      <c r="AM176">
        <f>_xlfn.TEXTJOIN(" + ", TRUE, I176:M176)</f>
        <v/>
      </c>
    </row>
    <row r="177">
      <c r="A177" s="23" t="n">
        <v>164</v>
      </c>
      <c r="B177" s="1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7">
        <f>R177-Q177</f>
        <v/>
      </c>
      <c r="U177" s="7">
        <f>S177-Q177</f>
        <v/>
      </c>
      <c r="V177" s="1" t="n"/>
      <c r="W177" s="9">
        <f>S177-R177</f>
        <v/>
      </c>
      <c r="X177" s="9" t="n"/>
      <c r="AJ177" s="1" t="inlineStr">
        <is>
          <t>Ginecología y Obstetricia - Salpingectomía</t>
        </is>
      </c>
      <c r="AM177">
        <f>_xlfn.TEXTJOIN(" + ", TRUE, I177:M177)</f>
        <v/>
      </c>
    </row>
    <row r="178">
      <c r="A178" s="23" t="n">
        <v>165</v>
      </c>
      <c r="B178" s="1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7">
        <f>R178-Q178</f>
        <v/>
      </c>
      <c r="U178" s="7">
        <f>S178-Q178</f>
        <v/>
      </c>
      <c r="V178" s="1" t="n"/>
      <c r="W178" s="9">
        <f>S178-R178</f>
        <v/>
      </c>
      <c r="X178" s="9" t="n"/>
      <c r="AJ178" s="1" t="inlineStr">
        <is>
          <t>Ginecología y Obstetricia - Salpingooforectomía</t>
        </is>
      </c>
      <c r="AM178">
        <f>_xlfn.TEXTJOIN(" + ", TRUE, I178:M178)</f>
        <v/>
      </c>
    </row>
    <row r="179">
      <c r="A179" s="23" t="n">
        <v>166</v>
      </c>
      <c r="B179" s="1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7">
        <f>R179-Q179</f>
        <v/>
      </c>
      <c r="U179" s="7">
        <f>S179-Q179</f>
        <v/>
      </c>
      <c r="V179" s="1" t="n"/>
      <c r="W179" s="9">
        <f>S179-R179</f>
        <v/>
      </c>
      <c r="X179" s="9" t="n"/>
      <c r="AJ179" s="1" t="inlineStr">
        <is>
          <t>Ginecología y Obstetricia - Tratamiento quirúrgico de endometriosis</t>
        </is>
      </c>
      <c r="AM179">
        <f>_xlfn.TEXTJOIN(" + ", TRUE, I179:M179)</f>
        <v/>
      </c>
    </row>
    <row r="180">
      <c r="A180" s="23" t="n">
        <v>167</v>
      </c>
      <c r="B180" s="1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7">
        <f>R180-Q180</f>
        <v/>
      </c>
      <c r="U180" s="7">
        <f>S180-Q180</f>
        <v/>
      </c>
      <c r="V180" s="1" t="n"/>
      <c r="W180" s="9">
        <f>S180-R180</f>
        <v/>
      </c>
      <c r="X180" s="9" t="n"/>
      <c r="AJ180" s="1" t="inlineStr">
        <is>
          <t>Nefrología - Trasplante renal</t>
        </is>
      </c>
      <c r="AM180">
        <f>_xlfn.TEXTJOIN(" + ", TRUE, I180:M180)</f>
        <v/>
      </c>
    </row>
    <row r="181">
      <c r="A181" s="23" t="n">
        <v>168</v>
      </c>
      <c r="B181" s="1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7">
        <f>R181-Q181</f>
        <v/>
      </c>
      <c r="U181" s="7">
        <f>S181-Q181</f>
        <v/>
      </c>
      <c r="V181" s="1" t="n"/>
      <c r="W181" s="9">
        <f>S181-R181</f>
        <v/>
      </c>
      <c r="X181" s="9" t="n"/>
      <c r="AJ181" s="1" t="inlineStr">
        <is>
          <t>Nefrología - Biopsia renal percutánea</t>
        </is>
      </c>
      <c r="AM181">
        <f>_xlfn.TEXTJOIN(" + ", TRUE, I181:M181)</f>
        <v/>
      </c>
    </row>
    <row r="182">
      <c r="A182" s="23" t="n">
        <v>169</v>
      </c>
      <c r="B182" s="1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7">
        <f>R182-Q182</f>
        <v/>
      </c>
      <c r="U182" s="7">
        <f>S182-Q182</f>
        <v/>
      </c>
      <c r="V182" s="1" t="n"/>
      <c r="W182" s="9">
        <f>S182-R182</f>
        <v/>
      </c>
      <c r="X182" s="9" t="n"/>
      <c r="AJ182" s="1" t="inlineStr">
        <is>
          <t>Nefrología - Biopsia renal abierta</t>
        </is>
      </c>
      <c r="AM182">
        <f>_xlfn.TEXTJOIN(" + ", TRUE, I182:M182)</f>
        <v/>
      </c>
    </row>
    <row r="183">
      <c r="A183" s="23" t="n">
        <v>170</v>
      </c>
      <c r="B183" s="1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7">
        <f>R183-Q183</f>
        <v/>
      </c>
      <c r="U183" s="7">
        <f>S183-Q183</f>
        <v/>
      </c>
      <c r="V183" s="1" t="n"/>
      <c r="W183" s="9">
        <f>S183-R183</f>
        <v/>
      </c>
      <c r="X183" s="9" t="n"/>
      <c r="AJ183" s="1" t="inlineStr">
        <is>
          <t>Nefrología - Nefrectomía simple</t>
        </is>
      </c>
      <c r="AM183">
        <f>_xlfn.TEXTJOIN(" + ", TRUE, I183:M183)</f>
        <v/>
      </c>
    </row>
    <row r="184">
      <c r="A184" s="23" t="n">
        <v>171</v>
      </c>
      <c r="B184" s="1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7">
        <f>R184-Q184</f>
        <v/>
      </c>
      <c r="U184" s="7">
        <f>S184-Q184</f>
        <v/>
      </c>
      <c r="V184" s="1" t="n"/>
      <c r="W184" s="9">
        <f>S184-R184</f>
        <v/>
      </c>
      <c r="X184" s="9" t="n"/>
      <c r="AJ184" s="1" t="inlineStr">
        <is>
          <t>Nefrología - Nefrectomía radical</t>
        </is>
      </c>
      <c r="AM184">
        <f>_xlfn.TEXTJOIN(" + ", TRUE, I184:M184)</f>
        <v/>
      </c>
    </row>
    <row r="185">
      <c r="A185" s="23" t="n">
        <v>172</v>
      </c>
      <c r="B185" s="1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7">
        <f>R185-Q185</f>
        <v/>
      </c>
      <c r="U185" s="7">
        <f>S185-Q185</f>
        <v/>
      </c>
      <c r="V185" s="1" t="n"/>
      <c r="W185" s="9">
        <f>S185-R185</f>
        <v/>
      </c>
      <c r="X185" s="9" t="n"/>
      <c r="AJ185" s="1" t="inlineStr">
        <is>
          <t>Nefrología - Nefrectomía parcial</t>
        </is>
      </c>
      <c r="AM185">
        <f>_xlfn.TEXTJOIN(" + ", TRUE, I185:M185)</f>
        <v/>
      </c>
    </row>
    <row r="186">
      <c r="A186" s="23" t="n">
        <v>173</v>
      </c>
      <c r="B186" s="1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7">
        <f>R186-Q186</f>
        <v/>
      </c>
      <c r="U186" s="7">
        <f>S186-Q186</f>
        <v/>
      </c>
      <c r="V186" s="1" t="n"/>
      <c r="W186" s="9">
        <f>S186-R186</f>
        <v/>
      </c>
      <c r="X186" s="9" t="n"/>
      <c r="AJ186" s="1" t="inlineStr">
        <is>
          <t>Nefrología - Nefroureterectomía</t>
        </is>
      </c>
      <c r="AM186">
        <f>_xlfn.TEXTJOIN(" + ", TRUE, I186:M186)</f>
        <v/>
      </c>
    </row>
    <row r="187">
      <c r="A187" s="23" t="n">
        <v>174</v>
      </c>
      <c r="B187" s="1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7">
        <f>R187-Q187</f>
        <v/>
      </c>
      <c r="U187" s="7">
        <f>S187-Q187</f>
        <v/>
      </c>
      <c r="V187" s="1" t="n"/>
      <c r="W187" s="9">
        <f>S187-R187</f>
        <v/>
      </c>
      <c r="X187" s="9" t="n"/>
      <c r="AJ187" s="1" t="inlineStr">
        <is>
          <t>Nefrología - Reimplante de uréter</t>
        </is>
      </c>
      <c r="AM187">
        <f>_xlfn.TEXTJOIN(" + ", TRUE, I187:M187)</f>
        <v/>
      </c>
    </row>
    <row r="188">
      <c r="A188" s="23" t="n">
        <v>175</v>
      </c>
      <c r="B188" s="1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7">
        <f>R188-Q188</f>
        <v/>
      </c>
      <c r="U188" s="7">
        <f>S188-Q188</f>
        <v/>
      </c>
      <c r="V188" s="1" t="n"/>
      <c r="W188" s="9">
        <f>S188-R188</f>
        <v/>
      </c>
      <c r="X188" s="9" t="n"/>
      <c r="AJ188" s="1" t="inlineStr">
        <is>
          <t>Nefrología - Nefrolitotomía percutánea</t>
        </is>
      </c>
      <c r="AM188">
        <f>_xlfn.TEXTJOIN(" + ", TRUE, I188:M188)</f>
        <v/>
      </c>
    </row>
    <row r="189">
      <c r="A189" s="23" t="n">
        <v>176</v>
      </c>
      <c r="B189" s="1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7">
        <f>R189-Q189</f>
        <v/>
      </c>
      <c r="U189" s="7">
        <f>S189-Q189</f>
        <v/>
      </c>
      <c r="V189" s="1" t="n"/>
      <c r="W189" s="9">
        <f>S189-R189</f>
        <v/>
      </c>
      <c r="X189" s="9" t="n"/>
      <c r="AJ189" s="1" t="inlineStr">
        <is>
          <t>Nefrología - Nefrostomía percutánea</t>
        </is>
      </c>
      <c r="AM189">
        <f>_xlfn.TEXTJOIN(" + ", TRUE, I189:M189)</f>
        <v/>
      </c>
    </row>
    <row r="190">
      <c r="A190" s="23" t="n">
        <v>177</v>
      </c>
      <c r="B190" s="1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7">
        <f>R190-Q190</f>
        <v/>
      </c>
      <c r="U190" s="7">
        <f>S190-Q190</f>
        <v/>
      </c>
      <c r="V190" s="1" t="n"/>
      <c r="W190" s="9">
        <f>S190-R190</f>
        <v/>
      </c>
      <c r="X190" s="9" t="n"/>
      <c r="AJ190" s="1" t="inlineStr">
        <is>
          <t>Nefrología - Colocación de catéter para hemodiálisis (temporal)</t>
        </is>
      </c>
      <c r="AM190">
        <f>_xlfn.TEXTJOIN(" + ", TRUE, I190:M190)</f>
        <v/>
      </c>
    </row>
    <row r="191">
      <c r="A191" s="23" t="n">
        <v>178</v>
      </c>
      <c r="B191" s="1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7">
        <f>R191-Q191</f>
        <v/>
      </c>
      <c r="U191" s="7">
        <f>S191-Q191</f>
        <v/>
      </c>
      <c r="V191" s="1" t="n"/>
      <c r="W191" s="9">
        <f>S191-R191</f>
        <v/>
      </c>
      <c r="X191" s="9" t="n"/>
      <c r="AJ191" s="1" t="inlineStr">
        <is>
          <t>Nefrología - Colocación de catéter tunelizado para hemodiálisis</t>
        </is>
      </c>
      <c r="AM191">
        <f>_xlfn.TEXTJOIN(" + ", TRUE, I191:M191)</f>
        <v/>
      </c>
    </row>
    <row r="192">
      <c r="A192" s="23" t="n">
        <v>179</v>
      </c>
      <c r="B192" s="1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7">
        <f>R192-Q192</f>
        <v/>
      </c>
      <c r="U192" s="7">
        <f>S192-Q192</f>
        <v/>
      </c>
      <c r="V192" s="1" t="n"/>
      <c r="W192" s="9">
        <f>S192-R192</f>
        <v/>
      </c>
      <c r="X192" s="9" t="n"/>
      <c r="AJ192" s="1" t="inlineStr">
        <is>
          <t>Nefrología - Retiro de catéter para hermodiálisis</t>
        </is>
      </c>
      <c r="AM192">
        <f>_xlfn.TEXTJOIN(" + ", TRUE, I192:M192)</f>
        <v/>
      </c>
    </row>
    <row r="193">
      <c r="A193" s="23" t="n">
        <v>180</v>
      </c>
      <c r="B193" s="1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7">
        <f>R193-Q193</f>
        <v/>
      </c>
      <c r="U193" s="7">
        <f>S193-Q193</f>
        <v/>
      </c>
      <c r="V193" s="1" t="n"/>
      <c r="W193" s="9">
        <f>S193-R193</f>
        <v/>
      </c>
      <c r="X193" s="9" t="n"/>
      <c r="AJ193" s="1" t="inlineStr">
        <is>
          <t>Nefrología - Creación de fístula arteriovenosa (radiocefálica)</t>
        </is>
      </c>
      <c r="AM193">
        <f>_xlfn.TEXTJOIN(" + ", TRUE, I193:M193)</f>
        <v/>
      </c>
    </row>
    <row r="194">
      <c r="A194" s="23" t="n">
        <v>181</v>
      </c>
      <c r="B194" s="1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7">
        <f>R194-Q194</f>
        <v/>
      </c>
      <c r="U194" s="7">
        <f>S194-Q194</f>
        <v/>
      </c>
      <c r="V194" s="1" t="n"/>
      <c r="W194" s="9">
        <f>S194-R194</f>
        <v/>
      </c>
      <c r="X194" s="9" t="n"/>
      <c r="AJ194" s="1" t="inlineStr">
        <is>
          <t>Nefrología - Creación de fístula arteriovenosa (braquiocefálica)</t>
        </is>
      </c>
      <c r="AM194">
        <f>_xlfn.TEXTJOIN(" + ", TRUE, I194:M194)</f>
        <v/>
      </c>
    </row>
    <row r="195">
      <c r="A195" s="23" t="n">
        <v>182</v>
      </c>
      <c r="B195" s="1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7">
        <f>R195-Q195</f>
        <v/>
      </c>
      <c r="U195" s="7">
        <f>S195-Q195</f>
        <v/>
      </c>
      <c r="V195" s="1" t="n"/>
      <c r="W195" s="9">
        <f>S195-R195</f>
        <v/>
      </c>
      <c r="X195" s="9" t="n"/>
      <c r="AJ195" s="1" t="inlineStr">
        <is>
          <t>Nefrología - Transposición de vena basílica</t>
        </is>
      </c>
      <c r="AM195">
        <f>_xlfn.TEXTJOIN(" + ", TRUE, I195:M195)</f>
        <v/>
      </c>
    </row>
    <row r="196">
      <c r="A196" s="23" t="n">
        <v>183</v>
      </c>
      <c r="B196" s="1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7">
        <f>R196-Q196</f>
        <v/>
      </c>
      <c r="U196" s="7">
        <f>S196-Q196</f>
        <v/>
      </c>
      <c r="V196" s="1" t="n"/>
      <c r="W196" s="9">
        <f>S196-R196</f>
        <v/>
      </c>
      <c r="X196" s="9" t="n"/>
      <c r="AJ196" s="1" t="inlineStr">
        <is>
          <t>Nefrología - Colocación de injerto arteriovenoso para diálisis</t>
        </is>
      </c>
      <c r="AM196">
        <f>_xlfn.TEXTJOIN(" + ", TRUE, I196:M196)</f>
        <v/>
      </c>
    </row>
    <row r="197">
      <c r="A197" s="23" t="n">
        <v>184</v>
      </c>
      <c r="B197" s="1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7">
        <f>R197-Q197</f>
        <v/>
      </c>
      <c r="U197" s="7">
        <f>S197-Q197</f>
        <v/>
      </c>
      <c r="V197" s="1" t="n"/>
      <c r="W197" s="9">
        <f>S197-R197</f>
        <v/>
      </c>
      <c r="X197" s="9" t="n"/>
      <c r="AJ197" s="1" t="inlineStr">
        <is>
          <t>Nefrología - Reparación de fístula arteriovenosa</t>
        </is>
      </c>
      <c r="AM197">
        <f>_xlfn.TEXTJOIN(" + ", TRUE, I197:M197)</f>
        <v/>
      </c>
    </row>
    <row r="198">
      <c r="A198" s="23" t="n">
        <v>185</v>
      </c>
      <c r="B198" s="1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7">
        <f>R198-Q198</f>
        <v/>
      </c>
      <c r="U198" s="7">
        <f>S198-Q198</f>
        <v/>
      </c>
      <c r="V198" s="1" t="n"/>
      <c r="W198" s="9">
        <f>S198-R198</f>
        <v/>
      </c>
      <c r="X198" s="9" t="n"/>
      <c r="AJ198" s="1" t="inlineStr">
        <is>
          <t>Nefrología - Trombectomía de fístula arteriovenosa</t>
        </is>
      </c>
      <c r="AM198">
        <f>_xlfn.TEXTJOIN(" + ", TRUE, I198:M198)</f>
        <v/>
      </c>
    </row>
    <row r="199">
      <c r="A199" s="23" t="n">
        <v>186</v>
      </c>
      <c r="B199" s="1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7">
        <f>R199-Q199</f>
        <v/>
      </c>
      <c r="U199" s="7">
        <f>S199-Q199</f>
        <v/>
      </c>
      <c r="V199" s="1" t="n"/>
      <c r="W199" s="9">
        <f>S199-R199</f>
        <v/>
      </c>
      <c r="X199" s="9" t="n"/>
      <c r="AJ199" s="1" t="inlineStr">
        <is>
          <t>Nefrología - Angioplastía de acceso vascular para hemodiálisis</t>
        </is>
      </c>
      <c r="AM199">
        <f>_xlfn.TEXTJOIN(" + ", TRUE, I199:M199)</f>
        <v/>
      </c>
    </row>
    <row r="200">
      <c r="A200" s="23" t="n">
        <v>187</v>
      </c>
      <c r="B200" s="1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7">
        <f>R200-Q200</f>
        <v/>
      </c>
      <c r="U200" s="7">
        <f>S200-Q200</f>
        <v/>
      </c>
      <c r="V200" s="1" t="n"/>
      <c r="W200" s="9">
        <f>S200-R200</f>
        <v/>
      </c>
      <c r="X200" s="9" t="n"/>
      <c r="AJ200" s="1" t="inlineStr">
        <is>
          <t>Nefrología - Revisión quirúrgica de acceso vascular</t>
        </is>
      </c>
      <c r="AM200">
        <f>_xlfn.TEXTJOIN(" + ", TRUE, I200:M200)</f>
        <v/>
      </c>
    </row>
    <row r="201">
      <c r="A201" s="23" t="n">
        <v>188</v>
      </c>
      <c r="B201" s="1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7">
        <f>R201-Q201</f>
        <v/>
      </c>
      <c r="U201" s="7">
        <f>S201-Q201</f>
        <v/>
      </c>
      <c r="V201" s="1" t="n"/>
      <c r="W201" s="9">
        <f>S201-R201</f>
        <v/>
      </c>
      <c r="X201" s="9" t="n"/>
      <c r="AJ201" s="1" t="inlineStr">
        <is>
          <t>Nefrología - Colocación de catéter para diálisis peritoneal</t>
        </is>
      </c>
      <c r="AM201">
        <f>_xlfn.TEXTJOIN(" + ", TRUE, I201:M201)</f>
        <v/>
      </c>
    </row>
    <row r="202">
      <c r="A202" s="23" t="n">
        <v>189</v>
      </c>
      <c r="B202" s="1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7">
        <f>R202-Q202</f>
        <v/>
      </c>
      <c r="U202" s="7">
        <f>S202-Q202</f>
        <v/>
      </c>
      <c r="V202" s="1" t="n"/>
      <c r="W202" s="9">
        <f>S202-R202</f>
        <v/>
      </c>
      <c r="X202" s="9" t="n"/>
      <c r="AJ202" s="1" t="inlineStr">
        <is>
          <t>Nefrología - Retiro de catéter para diálisis peritoneal</t>
        </is>
      </c>
      <c r="AM202">
        <f>_xlfn.TEXTJOIN(" + ", TRUE, I202:M202)</f>
        <v/>
      </c>
    </row>
    <row r="203">
      <c r="A203" s="23" t="n">
        <v>190</v>
      </c>
      <c r="B203" s="1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7">
        <f>R203-Q203</f>
        <v/>
      </c>
      <c r="U203" s="7">
        <f>S203-Q203</f>
        <v/>
      </c>
      <c r="V203" s="1" t="n"/>
      <c r="W203" s="9">
        <f>S203-R203</f>
        <v/>
      </c>
      <c r="X203" s="9" t="n"/>
      <c r="AJ203" s="1" t="inlineStr">
        <is>
          <t>Nefrología - Revisión o recambio de catéter peritoneal</t>
        </is>
      </c>
      <c r="AM203">
        <f>_xlfn.TEXTJOIN(" + ", TRUE, I203:M203)</f>
        <v/>
      </c>
    </row>
    <row r="204">
      <c r="A204" s="23" t="n">
        <v>191</v>
      </c>
      <c r="B204" s="1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7">
        <f>R204-Q204</f>
        <v/>
      </c>
      <c r="U204" s="7">
        <f>S204-Q204</f>
        <v/>
      </c>
      <c r="V204" s="1" t="n"/>
      <c r="W204" s="9">
        <f>S204-R204</f>
        <v/>
      </c>
      <c r="X204" s="9" t="n"/>
      <c r="AJ204" s="1" t="inlineStr">
        <is>
          <t>Nefrología - Decortificación de riñón</t>
        </is>
      </c>
      <c r="AM204">
        <f>_xlfn.TEXTJOIN(" + ", TRUE, I204:M204)</f>
        <v/>
      </c>
    </row>
    <row r="205">
      <c r="A205" s="23" t="n">
        <v>192</v>
      </c>
      <c r="B205" s="1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7">
        <f>R205-Q205</f>
        <v/>
      </c>
      <c r="U205" s="7">
        <f>S205-Q205</f>
        <v/>
      </c>
      <c r="V205" s="1" t="n"/>
      <c r="W205" s="9">
        <f>S205-R205</f>
        <v/>
      </c>
      <c r="X205" s="9" t="n"/>
      <c r="AJ205" s="1" t="inlineStr">
        <is>
          <t>Nefrología - Drenaje de absceso renal</t>
        </is>
      </c>
      <c r="AM205">
        <f>_xlfn.TEXTJOIN(" + ", TRUE, I205:M205)</f>
        <v/>
      </c>
    </row>
    <row r="206">
      <c r="A206" s="23" t="n">
        <v>193</v>
      </c>
      <c r="B206" s="1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7">
        <f>R206-Q206</f>
        <v/>
      </c>
      <c r="U206" s="7">
        <f>S206-Q206</f>
        <v/>
      </c>
      <c r="V206" s="1" t="n"/>
      <c r="W206" s="9">
        <f>S206-R206</f>
        <v/>
      </c>
      <c r="X206" s="9" t="n"/>
      <c r="AJ206" s="1" t="inlineStr">
        <is>
          <t>Nefrología - Marsupialización de quiste renal</t>
        </is>
      </c>
      <c r="AM206">
        <f>_xlfn.TEXTJOIN(" + ", TRUE, I206:M206)</f>
        <v/>
      </c>
    </row>
    <row r="207">
      <c r="A207" s="23" t="n">
        <v>194</v>
      </c>
      <c r="B207" s="1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7">
        <f>R207-Q207</f>
        <v/>
      </c>
      <c r="U207" s="7">
        <f>S207-Q207</f>
        <v/>
      </c>
      <c r="V207" s="1" t="n"/>
      <c r="W207" s="9">
        <f>S207-R207</f>
        <v/>
      </c>
      <c r="X207" s="9" t="n"/>
      <c r="AJ207" s="1" t="inlineStr">
        <is>
          <t>Nefrología - Fenestración laparoscópica de quiste renal</t>
        </is>
      </c>
      <c r="AM207">
        <f>_xlfn.TEXTJOIN(" + ", TRUE, I207:M207)</f>
        <v/>
      </c>
    </row>
    <row r="208">
      <c r="A208" s="23" t="n">
        <v>195</v>
      </c>
      <c r="B208" s="1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7">
        <f>R208-Q208</f>
        <v/>
      </c>
      <c r="U208" s="7">
        <f>S208-Q208</f>
        <v/>
      </c>
      <c r="V208" s="1" t="n"/>
      <c r="W208" s="9">
        <f>S208-R208</f>
        <v/>
      </c>
      <c r="X208" s="9" t="n"/>
      <c r="AJ208" s="1" t="inlineStr">
        <is>
          <t>Neurocirugía - Cirugía de aneurisma cerebral</t>
        </is>
      </c>
      <c r="AM208">
        <f>_xlfn.TEXTJOIN(" + ", TRUE, I208:M208)</f>
        <v/>
      </c>
    </row>
    <row r="209">
      <c r="A209" s="23" t="n">
        <v>196</v>
      </c>
      <c r="B209" s="1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7">
        <f>R209-Q209</f>
        <v/>
      </c>
      <c r="U209" s="7">
        <f>S209-Q209</f>
        <v/>
      </c>
      <c r="V209" s="1" t="n"/>
      <c r="W209" s="9">
        <f>S209-R209</f>
        <v/>
      </c>
      <c r="X209" s="9" t="n"/>
      <c r="AJ209" s="1" t="inlineStr">
        <is>
          <t>Neurocirugía - Cirugía de columna vertebral</t>
        </is>
      </c>
      <c r="AM209">
        <f>_xlfn.TEXTJOIN(" + ", TRUE, I209:M209)</f>
        <v/>
      </c>
    </row>
    <row r="210">
      <c r="A210" s="23" t="n">
        <v>197</v>
      </c>
      <c r="B210" s="1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7">
        <f>R210-Q210</f>
        <v/>
      </c>
      <c r="U210" s="7">
        <f>S210-Q210</f>
        <v/>
      </c>
      <c r="V210" s="1" t="n"/>
      <c r="W210" s="9">
        <f>S210-R210</f>
        <v/>
      </c>
      <c r="X210" s="9" t="n"/>
      <c r="AJ210" s="1" t="inlineStr">
        <is>
          <t>Neurocirugía - Cirugía de tumores cerebrales</t>
        </is>
      </c>
      <c r="AM210">
        <f>_xlfn.TEXTJOIN(" + ", TRUE, I210:M210)</f>
        <v/>
      </c>
    </row>
    <row r="211">
      <c r="A211" s="23" t="n">
        <v>198</v>
      </c>
      <c r="B211" s="1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7">
        <f>R211-Q211</f>
        <v/>
      </c>
      <c r="U211" s="7">
        <f>S211-Q211</f>
        <v/>
      </c>
      <c r="V211" s="1" t="n"/>
      <c r="W211" s="9">
        <f>S211-R211</f>
        <v/>
      </c>
      <c r="X211" s="9" t="n"/>
      <c r="AJ211" s="1" t="inlineStr">
        <is>
          <t>Neurocirugía - Craneotomía</t>
        </is>
      </c>
      <c r="AM211">
        <f>_xlfn.TEXTJOIN(" + ", TRUE, I211:M211)</f>
        <v/>
      </c>
    </row>
    <row r="212">
      <c r="A212" s="23" t="n">
        <v>199</v>
      </c>
      <c r="B212" s="1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7">
        <f>R212-Q212</f>
        <v/>
      </c>
      <c r="U212" s="7">
        <f>S212-Q212</f>
        <v/>
      </c>
      <c r="V212" s="1" t="n"/>
      <c r="W212" s="9">
        <f>S212-R212</f>
        <v/>
      </c>
      <c r="X212" s="9" t="n"/>
      <c r="AJ212" s="1" t="inlineStr">
        <is>
          <t>Neurocirugía - Craniectomía</t>
        </is>
      </c>
      <c r="AM212">
        <f>_xlfn.TEXTJOIN(" + ", TRUE, I212:M212)</f>
        <v/>
      </c>
    </row>
    <row r="213">
      <c r="A213" s="23" t="n">
        <v>200</v>
      </c>
      <c r="B213" s="1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7">
        <f>R213-Q213</f>
        <v/>
      </c>
      <c r="U213" s="7">
        <f>S213-Q213</f>
        <v/>
      </c>
      <c r="V213" s="1" t="n"/>
      <c r="W213" s="9">
        <f>S213-R213</f>
        <v/>
      </c>
      <c r="X213" s="9" t="n"/>
      <c r="AJ213" s="1" t="inlineStr">
        <is>
          <t>Neurocirugía - Derivación ventriculoperitoneal</t>
        </is>
      </c>
      <c r="AM213">
        <f>_xlfn.TEXTJOIN(" + ", TRUE, I213:M213)</f>
        <v/>
      </c>
    </row>
    <row r="214">
      <c r="A214" s="23" t="n">
        <v>201</v>
      </c>
      <c r="B214" s="1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7">
        <f>R214-Q214</f>
        <v/>
      </c>
      <c r="U214" s="7">
        <f>S214-Q214</f>
        <v/>
      </c>
      <c r="V214" s="1" t="n"/>
      <c r="W214" s="9">
        <f>S214-R214</f>
        <v/>
      </c>
      <c r="X214" s="9" t="n"/>
      <c r="AJ214" s="1" t="inlineStr">
        <is>
          <t>Neurocirugía - Discectomía</t>
        </is>
      </c>
      <c r="AM214">
        <f>_xlfn.TEXTJOIN(" + ", TRUE, I214:M214)</f>
        <v/>
      </c>
    </row>
    <row r="215">
      <c r="A215" s="23" t="n">
        <v>202</v>
      </c>
      <c r="B215" s="1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7">
        <f>R215-Q215</f>
        <v/>
      </c>
      <c r="U215" s="7">
        <f>S215-Q215</f>
        <v/>
      </c>
      <c r="V215" s="1" t="n"/>
      <c r="W215" s="9">
        <f>S215-R215</f>
        <v/>
      </c>
      <c r="X215" s="9" t="n"/>
      <c r="AJ215" s="1" t="inlineStr">
        <is>
          <t>Neurocirugía - Drenaje de hematoma</t>
        </is>
      </c>
      <c r="AM215">
        <f>_xlfn.TEXTJOIN(" + ", TRUE, I215:M215)</f>
        <v/>
      </c>
    </row>
    <row r="216">
      <c r="A216" s="23" t="n">
        <v>203</v>
      </c>
      <c r="B216" s="1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7">
        <f>R216-Q216</f>
        <v/>
      </c>
      <c r="U216" s="7">
        <f>S216-Q216</f>
        <v/>
      </c>
      <c r="V216" s="1" t="n"/>
      <c r="W216" s="9">
        <f>S216-R216</f>
        <v/>
      </c>
      <c r="X216" s="9" t="n"/>
      <c r="AJ216" s="1" t="inlineStr">
        <is>
          <t>Neurocirugía - Drenaje epidural</t>
        </is>
      </c>
      <c r="AM216">
        <f>_xlfn.TEXTJOIN(" + ", TRUE, I216:M216)</f>
        <v/>
      </c>
    </row>
    <row r="217">
      <c r="A217" s="23" t="n">
        <v>204</v>
      </c>
      <c r="B217" s="1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7">
        <f>R217-Q217</f>
        <v/>
      </c>
      <c r="U217" s="7">
        <f>S217-Q217</f>
        <v/>
      </c>
      <c r="V217" s="1" t="n"/>
      <c r="W217" s="9">
        <f>S217-R217</f>
        <v/>
      </c>
      <c r="X217" s="9" t="n"/>
      <c r="AJ217" s="1" t="inlineStr">
        <is>
          <t>Neurocirugía - Estimulación cerebral profunda</t>
        </is>
      </c>
      <c r="AM217">
        <f>_xlfn.TEXTJOIN(" + ", TRUE, I217:M217)</f>
        <v/>
      </c>
    </row>
    <row r="218">
      <c r="A218" s="23" t="n">
        <v>205</v>
      </c>
      <c r="B218" s="1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7">
        <f>R218-Q218</f>
        <v/>
      </c>
      <c r="U218" s="7">
        <f>S218-Q218</f>
        <v/>
      </c>
      <c r="V218" s="1" t="n"/>
      <c r="W218" s="9">
        <f>S218-R218</f>
        <v/>
      </c>
      <c r="X218" s="9" t="n"/>
      <c r="AJ218" s="1" t="inlineStr">
        <is>
          <t>Neurocirugía - Evacuación de hematomas</t>
        </is>
      </c>
      <c r="AM218">
        <f>_xlfn.TEXTJOIN(" + ", TRUE, I218:M218)</f>
        <v/>
      </c>
    </row>
    <row r="219">
      <c r="A219" s="23" t="n">
        <v>206</v>
      </c>
      <c r="B219" s="1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7">
        <f>R219-Q219</f>
        <v/>
      </c>
      <c r="U219" s="7">
        <f>S219-Q219</f>
        <v/>
      </c>
      <c r="V219" s="1" t="n"/>
      <c r="W219" s="9">
        <f>S219-R219</f>
        <v/>
      </c>
      <c r="X219" s="9" t="n"/>
      <c r="AJ219" s="1" t="inlineStr">
        <is>
          <t>Neurocirugía - Fusión vertebral</t>
        </is>
      </c>
      <c r="AM219">
        <f>_xlfn.TEXTJOIN(" + ", TRUE, I219:M219)</f>
        <v/>
      </c>
    </row>
    <row r="220">
      <c r="A220" s="23" t="n">
        <v>207</v>
      </c>
      <c r="B220" s="1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7">
        <f>R220-Q220</f>
        <v/>
      </c>
      <c r="U220" s="7">
        <f>S220-Q220</f>
        <v/>
      </c>
      <c r="V220" s="1" t="n"/>
      <c r="W220" s="9">
        <f>S220-R220</f>
        <v/>
      </c>
      <c r="X220" s="9" t="n"/>
      <c r="AJ220" s="1" t="inlineStr">
        <is>
          <t>Neurocirugía - Laminectomía</t>
        </is>
      </c>
      <c r="AM220">
        <f>_xlfn.TEXTJOIN(" + ", TRUE, I220:M220)</f>
        <v/>
      </c>
    </row>
    <row r="221">
      <c r="A221" s="23" t="n">
        <v>208</v>
      </c>
      <c r="B221" s="1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7">
        <f>R221-Q221</f>
        <v/>
      </c>
      <c r="U221" s="7">
        <f>S221-Q221</f>
        <v/>
      </c>
      <c r="V221" s="1" t="n"/>
      <c r="W221" s="9">
        <f>S221-R221</f>
        <v/>
      </c>
      <c r="X221" s="9" t="n"/>
      <c r="AJ221" s="1" t="inlineStr">
        <is>
          <t>Neurocirugía - Levantamiento óseo frontal</t>
        </is>
      </c>
      <c r="AM221">
        <f>_xlfn.TEXTJOIN(" + ", TRUE, I221:M221)</f>
        <v/>
      </c>
    </row>
    <row r="222">
      <c r="A222" s="23" t="n">
        <v>209</v>
      </c>
      <c r="B222" s="1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7">
        <f>R222-Q222</f>
        <v/>
      </c>
      <c r="U222" s="7">
        <f>S222-Q222</f>
        <v/>
      </c>
      <c r="V222" s="1" t="n"/>
      <c r="W222" s="9">
        <f>S222-R222</f>
        <v/>
      </c>
      <c r="X222" s="9" t="n"/>
      <c r="AJ222" s="1" t="inlineStr">
        <is>
          <t>Neurocirugía - Reparación de fracturas craneales</t>
        </is>
      </c>
      <c r="AM222">
        <f>_xlfn.TEXTJOIN(" + ", TRUE, I222:M222)</f>
        <v/>
      </c>
    </row>
    <row r="223">
      <c r="A223" s="23" t="n">
        <v>210</v>
      </c>
      <c r="B223" s="1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7">
        <f>R223-Q223</f>
        <v/>
      </c>
      <c r="U223" s="7">
        <f>S223-Q223</f>
        <v/>
      </c>
      <c r="V223" s="1" t="n"/>
      <c r="W223" s="9">
        <f>S223-R223</f>
        <v/>
      </c>
      <c r="X223" s="9" t="n"/>
      <c r="AJ223" s="1" t="inlineStr">
        <is>
          <t>Neurocirugía - Resección de tumor cerebral</t>
        </is>
      </c>
      <c r="AM223">
        <f>_xlfn.TEXTJOIN(" + ", TRUE, I223:M223)</f>
        <v/>
      </c>
    </row>
    <row r="224">
      <c r="A224" s="23" t="n">
        <v>211</v>
      </c>
      <c r="B224" s="1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7">
        <f>R224-Q224</f>
        <v/>
      </c>
      <c r="U224" s="7">
        <f>S224-Q224</f>
        <v/>
      </c>
      <c r="V224" s="1" t="n"/>
      <c r="W224" s="9">
        <f>S224-R224</f>
        <v/>
      </c>
      <c r="X224" s="9" t="n"/>
      <c r="AJ224" s="1" t="inlineStr">
        <is>
          <t>Oftalmología - Cirugía de catarata</t>
        </is>
      </c>
      <c r="AM224">
        <f>_xlfn.TEXTJOIN(" + ", TRUE, I224:M224)</f>
        <v/>
      </c>
    </row>
    <row r="225">
      <c r="A225" s="23" t="n">
        <v>212</v>
      </c>
      <c r="B225" s="1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7">
        <f>R225-Q225</f>
        <v/>
      </c>
      <c r="U225" s="7">
        <f>S225-Q225</f>
        <v/>
      </c>
      <c r="V225" s="1" t="n"/>
      <c r="W225" s="9">
        <f>S225-R225</f>
        <v/>
      </c>
      <c r="X225" s="9" t="n"/>
      <c r="AJ225" s="1" t="inlineStr">
        <is>
          <t>Oftalmología - LASIK</t>
        </is>
      </c>
      <c r="AM225">
        <f>_xlfn.TEXTJOIN(" + ", TRUE, I225:M225)</f>
        <v/>
      </c>
    </row>
    <row r="226">
      <c r="A226" s="23" t="n">
        <v>213</v>
      </c>
      <c r="B226" s="1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7">
        <f>R226-Q226</f>
        <v/>
      </c>
      <c r="U226" s="7">
        <f>S226-Q226</f>
        <v/>
      </c>
      <c r="V226" s="1" t="n"/>
      <c r="W226" s="9">
        <f>S226-R226</f>
        <v/>
      </c>
      <c r="X226" s="9" t="n"/>
      <c r="AJ226" s="1" t="inlineStr">
        <is>
          <t>Oftalmología - Queratoplastia</t>
        </is>
      </c>
      <c r="AM226">
        <f>_xlfn.TEXTJOIN(" + ", TRUE, I226:M226)</f>
        <v/>
      </c>
    </row>
    <row r="227">
      <c r="A227" s="23" t="n">
        <v>214</v>
      </c>
      <c r="B227" s="1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7">
        <f>R227-Q227</f>
        <v/>
      </c>
      <c r="U227" s="7">
        <f>S227-Q227</f>
        <v/>
      </c>
      <c r="V227" s="1" t="n"/>
      <c r="W227" s="9">
        <f>S227-R227</f>
        <v/>
      </c>
      <c r="X227" s="9" t="n"/>
      <c r="AJ227" s="1" t="inlineStr">
        <is>
          <t>Oftalmología - Reparación de desprendimiento de retina</t>
        </is>
      </c>
      <c r="AM227">
        <f>_xlfn.TEXTJOIN(" + ", TRUE, I227:M227)</f>
        <v/>
      </c>
    </row>
    <row r="228">
      <c r="A228" s="23" t="n">
        <v>215</v>
      </c>
      <c r="B228" s="1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7">
        <f>R228-Q228</f>
        <v/>
      </c>
      <c r="U228" s="7">
        <f>S228-Q228</f>
        <v/>
      </c>
      <c r="V228" s="1" t="n"/>
      <c r="W228" s="9">
        <f>S228-R228</f>
        <v/>
      </c>
      <c r="X228" s="9" t="n"/>
      <c r="AJ228" s="1" t="inlineStr">
        <is>
          <t>Oftalmología - Trabeculectomía</t>
        </is>
      </c>
      <c r="AM228">
        <f>_xlfn.TEXTJOIN(" + ", TRUE, I228:M228)</f>
        <v/>
      </c>
    </row>
    <row r="229">
      <c r="A229" s="23" t="n">
        <v>216</v>
      </c>
      <c r="B229" s="1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7">
        <f>R229-Q229</f>
        <v/>
      </c>
      <c r="U229" s="7">
        <f>S229-Q229</f>
        <v/>
      </c>
      <c r="V229" s="1" t="n"/>
      <c r="W229" s="9">
        <f>S229-R229</f>
        <v/>
      </c>
      <c r="X229" s="9" t="n"/>
      <c r="AJ229" s="1" t="inlineStr">
        <is>
          <t>Oftalmología - Vitrectomía</t>
        </is>
      </c>
      <c r="AM229">
        <f>_xlfn.TEXTJOIN(" + ", TRUE, I229:M229)</f>
        <v/>
      </c>
    </row>
    <row r="230">
      <c r="A230" s="23" t="n">
        <v>217</v>
      </c>
      <c r="B230" s="1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7">
        <f>R230-Q230</f>
        <v/>
      </c>
      <c r="U230" s="7">
        <f>S230-Q230</f>
        <v/>
      </c>
      <c r="V230" s="1" t="n"/>
      <c r="W230" s="9">
        <f>S230-R230</f>
        <v/>
      </c>
      <c r="X230" s="9" t="n"/>
      <c r="AJ230" s="1" t="inlineStr">
        <is>
          <t>Otorrinolaringología - Adenoamigdalectomía</t>
        </is>
      </c>
      <c r="AM230">
        <f>_xlfn.TEXTJOIN(" + ", TRUE, I230:M230)</f>
        <v/>
      </c>
    </row>
    <row r="231">
      <c r="A231" s="23" t="n">
        <v>218</v>
      </c>
      <c r="B231" s="1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7">
        <f>R231-Q231</f>
        <v/>
      </c>
      <c r="U231" s="7">
        <f>S231-Q231</f>
        <v/>
      </c>
      <c r="V231" s="1" t="n"/>
      <c r="W231" s="9">
        <f>S231-R231</f>
        <v/>
      </c>
      <c r="X231" s="9" t="n"/>
      <c r="AJ231" s="1" t="inlineStr">
        <is>
          <t>Otorrinolaringología - Adenoidectomía</t>
        </is>
      </c>
      <c r="AM231">
        <f>_xlfn.TEXTJOIN(" + ", TRUE, I231:M231)</f>
        <v/>
      </c>
    </row>
    <row r="232">
      <c r="A232" s="23" t="n">
        <v>219</v>
      </c>
      <c r="B232" s="1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7">
        <f>R232-Q232</f>
        <v/>
      </c>
      <c r="U232" s="7">
        <f>S232-Q232</f>
        <v/>
      </c>
      <c r="V232" s="1" t="n"/>
      <c r="W232" s="9">
        <f>S232-R232</f>
        <v/>
      </c>
      <c r="X232" s="9" t="n"/>
      <c r="AJ232" s="1" t="inlineStr">
        <is>
          <t>Otorrinolaringología - Amigdalectomía</t>
        </is>
      </c>
      <c r="AM232">
        <f>_xlfn.TEXTJOIN(" + ", TRUE, I232:M232)</f>
        <v/>
      </c>
    </row>
    <row r="233">
      <c r="A233" s="23" t="n">
        <v>220</v>
      </c>
      <c r="B233" s="1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7">
        <f>R233-Q233</f>
        <v/>
      </c>
      <c r="U233" s="7">
        <f>S233-Q233</f>
        <v/>
      </c>
      <c r="V233" s="1" t="n"/>
      <c r="W233" s="9">
        <f>S233-R233</f>
        <v/>
      </c>
      <c r="X233" s="9" t="n"/>
      <c r="AJ233" s="1" t="inlineStr">
        <is>
          <t>Otorrinolaringología - Cirugía endoscópica nasal</t>
        </is>
      </c>
      <c r="AM233">
        <f>_xlfn.TEXTJOIN(" + ", TRUE, I233:M233)</f>
        <v/>
      </c>
    </row>
    <row r="234">
      <c r="A234" s="23" t="n">
        <v>221</v>
      </c>
      <c r="B234" s="1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7">
        <f>R234-Q234</f>
        <v/>
      </c>
      <c r="U234" s="7">
        <f>S234-Q234</f>
        <v/>
      </c>
      <c r="V234" s="1" t="n"/>
      <c r="W234" s="9">
        <f>S234-R234</f>
        <v/>
      </c>
      <c r="X234" s="9" t="n"/>
      <c r="AJ234" s="1" t="inlineStr">
        <is>
          <t>Otorrinolaringología - Laringectomía</t>
        </is>
      </c>
      <c r="AM234">
        <f>_xlfn.TEXTJOIN(" + ", TRUE, I234:M234)</f>
        <v/>
      </c>
    </row>
    <row r="235">
      <c r="A235" s="23" t="n">
        <v>222</v>
      </c>
      <c r="B235" s="1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7">
        <f>R235-Q235</f>
        <v/>
      </c>
      <c r="U235" s="7">
        <f>S235-Q235</f>
        <v/>
      </c>
      <c r="V235" s="1" t="n"/>
      <c r="W235" s="9">
        <f>S235-R235</f>
        <v/>
      </c>
      <c r="X235" s="9" t="n"/>
      <c r="AJ235" s="1" t="inlineStr">
        <is>
          <t>Otorrinolaringología - Mastoidectomía</t>
        </is>
      </c>
      <c r="AM235">
        <f>_xlfn.TEXTJOIN(" + ", TRUE, I235:M235)</f>
        <v/>
      </c>
    </row>
    <row r="236">
      <c r="A236" s="23" t="n">
        <v>223</v>
      </c>
      <c r="B236" s="1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7">
        <f>R236-Q236</f>
        <v/>
      </c>
      <c r="U236" s="7">
        <f>S236-Q236</f>
        <v/>
      </c>
      <c r="V236" s="1" t="n"/>
      <c r="W236" s="9">
        <f>S236-R236</f>
        <v/>
      </c>
      <c r="X236" s="9" t="n"/>
      <c r="AJ236" s="1" t="inlineStr">
        <is>
          <t>Otorrinolaringología - Microlaringoscopía</t>
        </is>
      </c>
      <c r="AM236">
        <f>_xlfn.TEXTJOIN(" + ", TRUE, I236:M236)</f>
        <v/>
      </c>
    </row>
    <row r="237">
      <c r="A237" s="23" t="n">
        <v>224</v>
      </c>
      <c r="B237" s="1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7">
        <f>R237-Q237</f>
        <v/>
      </c>
      <c r="U237" s="7">
        <f>S237-Q237</f>
        <v/>
      </c>
      <c r="V237" s="1" t="n"/>
      <c r="W237" s="9">
        <f>S237-R237</f>
        <v/>
      </c>
      <c r="X237" s="9" t="n"/>
      <c r="AJ237" s="1" t="inlineStr">
        <is>
          <t>Otorrinolaringología - Polipectomía nasal</t>
        </is>
      </c>
      <c r="AM237">
        <f>_xlfn.TEXTJOIN(" + ", TRUE, I237:M237)</f>
        <v/>
      </c>
    </row>
    <row r="238">
      <c r="A238" s="23" t="n">
        <v>225</v>
      </c>
      <c r="B238" s="1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7">
        <f>R238-Q238</f>
        <v/>
      </c>
      <c r="U238" s="7">
        <f>S238-Q238</f>
        <v/>
      </c>
      <c r="V238" s="1" t="n"/>
      <c r="W238" s="9">
        <f>S238-R238</f>
        <v/>
      </c>
      <c r="X238" s="9" t="n"/>
      <c r="AJ238" s="1" t="inlineStr">
        <is>
          <t>Otorrinolaringología - Rinoplastia</t>
        </is>
      </c>
      <c r="AM238">
        <f>_xlfn.TEXTJOIN(" + ", TRUE, I238:M238)</f>
        <v/>
      </c>
    </row>
    <row r="239">
      <c r="A239" s="23" t="n">
        <v>226</v>
      </c>
      <c r="B239" s="1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7">
        <f>R239-Q239</f>
        <v/>
      </c>
      <c r="U239" s="7">
        <f>S239-Q239</f>
        <v/>
      </c>
      <c r="V239" s="1" t="n"/>
      <c r="W239" s="9">
        <f>S239-R239</f>
        <v/>
      </c>
      <c r="X239" s="9" t="n"/>
      <c r="AJ239" s="1" t="inlineStr">
        <is>
          <t>Otorrinolaringología - Septoplastia</t>
        </is>
      </c>
      <c r="AM239">
        <f>_xlfn.TEXTJOIN(" + ", TRUE, I239:M239)</f>
        <v/>
      </c>
    </row>
    <row r="240">
      <c r="A240" s="23" t="n">
        <v>227</v>
      </c>
      <c r="B240" s="1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7">
        <f>R240-Q240</f>
        <v/>
      </c>
      <c r="U240" s="7">
        <f>S240-Q240</f>
        <v/>
      </c>
      <c r="V240" s="1" t="n"/>
      <c r="W240" s="9">
        <f>S240-R240</f>
        <v/>
      </c>
      <c r="X240" s="9" t="n"/>
      <c r="AJ240" s="1" t="inlineStr">
        <is>
          <t>Otorrinolaringología - Timpanoplastia</t>
        </is>
      </c>
      <c r="AM240">
        <f>_xlfn.TEXTJOIN(" + ", TRUE, I240:M240)</f>
        <v/>
      </c>
    </row>
    <row r="241">
      <c r="A241" s="23" t="n">
        <v>228</v>
      </c>
      <c r="B241" s="1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7">
        <f>R241-Q241</f>
        <v/>
      </c>
      <c r="U241" s="7">
        <f>S241-Q241</f>
        <v/>
      </c>
      <c r="V241" s="1" t="n"/>
      <c r="W241" s="9">
        <f>S241-R241</f>
        <v/>
      </c>
      <c r="X241" s="9" t="n"/>
      <c r="AJ241" s="1" t="inlineStr">
        <is>
          <t>Otorrinolaringología - Traqueostomía</t>
        </is>
      </c>
      <c r="AM241">
        <f>_xlfn.TEXTJOIN(" + ", TRUE, I241:M241)</f>
        <v/>
      </c>
    </row>
    <row r="242">
      <c r="A242" s="23" t="n">
        <v>229</v>
      </c>
      <c r="B242" s="1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7">
        <f>R242-Q242</f>
        <v/>
      </c>
      <c r="U242" s="7">
        <f>S242-Q242</f>
        <v/>
      </c>
      <c r="V242" s="1" t="n"/>
      <c r="W242" s="9">
        <f>S242-R242</f>
        <v/>
      </c>
      <c r="X242" s="9" t="n"/>
      <c r="AJ242" s="1" t="inlineStr">
        <is>
          <t>Procedimientos Endoscópicos - Broncoscopia</t>
        </is>
      </c>
      <c r="AM242">
        <f>_xlfn.TEXTJOIN(" + ", TRUE, I242:M242)</f>
        <v/>
      </c>
    </row>
    <row r="243">
      <c r="A243" s="23" t="n">
        <v>230</v>
      </c>
      <c r="B243" s="1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7">
        <f>R243-Q243</f>
        <v/>
      </c>
      <c r="U243" s="7">
        <f>S243-Q243</f>
        <v/>
      </c>
      <c r="V243" s="1" t="n"/>
      <c r="W243" s="9">
        <f>S243-R243</f>
        <v/>
      </c>
      <c r="X243" s="9" t="n"/>
      <c r="AJ243" s="1" t="inlineStr">
        <is>
          <t>Procedimientos Endoscópicos - Cateterismo cardíaco</t>
        </is>
      </c>
      <c r="AM243">
        <f>_xlfn.TEXTJOIN(" + ", TRUE, I243:M243)</f>
        <v/>
      </c>
    </row>
    <row r="244">
      <c r="A244" s="23" t="n">
        <v>231</v>
      </c>
      <c r="B244" s="1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7">
        <f>R244-Q244</f>
        <v/>
      </c>
      <c r="U244" s="7">
        <f>S244-Q244</f>
        <v/>
      </c>
      <c r="V244" s="1" t="n"/>
      <c r="W244" s="9">
        <f>S244-R244</f>
        <v/>
      </c>
      <c r="X244" s="9" t="n"/>
      <c r="AJ244" s="1" t="inlineStr">
        <is>
          <t>Procedimientos Endoscópicos - Colonoscopia</t>
        </is>
      </c>
      <c r="AM244">
        <f>_xlfn.TEXTJOIN(" + ", TRUE, I244:M244)</f>
        <v/>
      </c>
    </row>
    <row r="245">
      <c r="A245" s="23" t="n">
        <v>232</v>
      </c>
      <c r="B245" s="1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7">
        <f>R245-Q245</f>
        <v/>
      </c>
      <c r="U245" s="7">
        <f>S245-Q245</f>
        <v/>
      </c>
      <c r="V245" s="1" t="n"/>
      <c r="W245" s="9">
        <f>S245-R245</f>
        <v/>
      </c>
      <c r="X245" s="9" t="n"/>
      <c r="AJ245" s="1" t="inlineStr">
        <is>
          <t>Procedimientos Endoscópicos - CPRE</t>
        </is>
      </c>
      <c r="AM245">
        <f>_xlfn.TEXTJOIN(" + ", TRUE, I245:M245)</f>
        <v/>
      </c>
    </row>
    <row r="246">
      <c r="A246" s="23" t="n">
        <v>233</v>
      </c>
      <c r="B246" s="1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7">
        <f>R246-Q246</f>
        <v/>
      </c>
      <c r="U246" s="7">
        <f>S246-Q246</f>
        <v/>
      </c>
      <c r="V246" s="1" t="n"/>
      <c r="W246" s="9">
        <f>S246-R246</f>
        <v/>
      </c>
      <c r="X246" s="9" t="n"/>
      <c r="AJ246" s="1" t="inlineStr">
        <is>
          <t>Procedimientos Endoscópicos - Endoscopía + dilatación</t>
        </is>
      </c>
      <c r="AM246">
        <f>_xlfn.TEXTJOIN(" + ", TRUE, I246:M246)</f>
        <v/>
      </c>
    </row>
    <row r="247">
      <c r="A247" s="23" t="n">
        <v>234</v>
      </c>
      <c r="B247" s="1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7">
        <f>R247-Q247</f>
        <v/>
      </c>
      <c r="U247" s="7">
        <f>S247-Q247</f>
        <v/>
      </c>
      <c r="V247" s="1" t="n"/>
      <c r="W247" s="9">
        <f>S247-R247</f>
        <v/>
      </c>
      <c r="X247" s="9" t="n"/>
      <c r="AJ247" s="1" t="inlineStr">
        <is>
          <t>Procedimientos Endoscópicos - Endoscopia digestiva alta</t>
        </is>
      </c>
      <c r="AM247">
        <f>_xlfn.TEXTJOIN(" + ", TRUE, I247:M247)</f>
        <v/>
      </c>
    </row>
    <row r="248">
      <c r="A248" s="23" t="n">
        <v>235</v>
      </c>
      <c r="B248" s="1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7">
        <f>R248-Q248</f>
        <v/>
      </c>
      <c r="U248" s="7">
        <f>S248-Q248</f>
        <v/>
      </c>
      <c r="V248" s="1" t="n"/>
      <c r="W248" s="9">
        <f>S248-R248</f>
        <v/>
      </c>
      <c r="X248" s="9" t="n"/>
      <c r="AJ248" s="1" t="inlineStr">
        <is>
          <t>Procedimientos Endoscópicos - Endoscopía y toma de biopsia</t>
        </is>
      </c>
      <c r="AM248">
        <f>_xlfn.TEXTJOIN(" + ", TRUE, I248:M248)</f>
        <v/>
      </c>
    </row>
    <row r="249">
      <c r="A249" s="23" t="n">
        <v>236</v>
      </c>
      <c r="B249" s="1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7">
        <f>R249-Q249</f>
        <v/>
      </c>
      <c r="U249" s="7">
        <f>S249-Q249</f>
        <v/>
      </c>
      <c r="V249" s="1" t="n"/>
      <c r="W249" s="9">
        <f>S249-R249</f>
        <v/>
      </c>
      <c r="X249" s="9" t="n"/>
      <c r="AJ249" s="1" t="inlineStr">
        <is>
          <t>Procedimientos Endoscópicos - Polipectomía endoscópica</t>
        </is>
      </c>
      <c r="AM249">
        <f>_xlfn.TEXTJOIN(" + ", TRUE, I249:M249)</f>
        <v/>
      </c>
    </row>
    <row r="250">
      <c r="A250" s="23" t="n">
        <v>237</v>
      </c>
      <c r="B250" s="1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7">
        <f>R250-Q250</f>
        <v/>
      </c>
      <c r="U250" s="7">
        <f>S250-Q250</f>
        <v/>
      </c>
      <c r="V250" s="1" t="n"/>
      <c r="W250" s="9">
        <f>S250-R250</f>
        <v/>
      </c>
      <c r="X250" s="9" t="n"/>
      <c r="AJ250" s="1" t="inlineStr">
        <is>
          <t>Procedimientos Generales - Banding</t>
        </is>
      </c>
      <c r="AM250">
        <f>_xlfn.TEXTJOIN(" + ", TRUE, I250:M250)</f>
        <v/>
      </c>
    </row>
    <row r="251">
      <c r="A251" s="23" t="n">
        <v>238</v>
      </c>
      <c r="B251" s="1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7">
        <f>R251-Q251</f>
        <v/>
      </c>
      <c r="U251" s="7">
        <f>S251-Q251</f>
        <v/>
      </c>
      <c r="V251" s="1" t="n"/>
      <c r="W251" s="9">
        <f>S251-R251</f>
        <v/>
      </c>
      <c r="X251" s="9" t="n"/>
      <c r="AJ251" s="1" t="inlineStr">
        <is>
          <t>Procedimientos Generales - Lavado y desbridamiento</t>
        </is>
      </c>
      <c r="AM251">
        <f>_xlfn.TEXTJOIN(" + ", TRUE, I251:M251)</f>
        <v/>
      </c>
    </row>
    <row r="252">
      <c r="A252" s="23" t="n">
        <v>239</v>
      </c>
      <c r="B252" s="1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7">
        <f>R252-Q252</f>
        <v/>
      </c>
      <c r="U252" s="7">
        <f>S252-Q252</f>
        <v/>
      </c>
      <c r="V252" s="1" t="n"/>
      <c r="W252" s="9">
        <f>S252-R252</f>
        <v/>
      </c>
      <c r="X252" s="9" t="n"/>
      <c r="AJ252" s="1" t="inlineStr">
        <is>
          <t>Procedimientos Menores - Biopsia excisional</t>
        </is>
      </c>
      <c r="AM252">
        <f>_xlfn.TEXTJOIN(" + ", TRUE, I252:M252)</f>
        <v/>
      </c>
    </row>
    <row r="253">
      <c r="A253" s="23" t="n">
        <v>240</v>
      </c>
      <c r="B253" s="1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7">
        <f>R253-Q253</f>
        <v/>
      </c>
      <c r="U253" s="7">
        <f>S253-Q253</f>
        <v/>
      </c>
      <c r="V253" s="1" t="n"/>
      <c r="W253" s="9">
        <f>S253-R253</f>
        <v/>
      </c>
      <c r="X253" s="9" t="n"/>
      <c r="AJ253" s="1" t="inlineStr">
        <is>
          <t>Procedimientos Menores - Biopsia incisional</t>
        </is>
      </c>
      <c r="AM253">
        <f>_xlfn.TEXTJOIN(" + ", TRUE, I253:M253)</f>
        <v/>
      </c>
    </row>
    <row r="254">
      <c r="A254" s="23" t="n">
        <v>241</v>
      </c>
      <c r="B254" s="1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7">
        <f>R254-Q254</f>
        <v/>
      </c>
      <c r="U254" s="7">
        <f>S254-Q254</f>
        <v/>
      </c>
      <c r="V254" s="1" t="n"/>
      <c r="W254" s="9">
        <f>S254-R254</f>
        <v/>
      </c>
      <c r="X254" s="9" t="n"/>
      <c r="AJ254" s="1" t="inlineStr">
        <is>
          <t>Procedimientos Menores - Cauterización</t>
        </is>
      </c>
      <c r="AM254">
        <f>_xlfn.TEXTJOIN(" + ", TRUE, I254:M254)</f>
        <v/>
      </c>
    </row>
    <row r="255">
      <c r="A255" s="23" t="n">
        <v>242</v>
      </c>
      <c r="B255" s="1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7">
        <f>R255-Q255</f>
        <v/>
      </c>
      <c r="U255" s="7">
        <f>S255-Q255</f>
        <v/>
      </c>
      <c r="V255" s="1" t="n"/>
      <c r="W255" s="9">
        <f>S255-R255</f>
        <v/>
      </c>
      <c r="X255" s="9" t="n"/>
      <c r="AJ255" s="1" t="inlineStr">
        <is>
          <t>Procedimientos Menores - Drenaje de absceso</t>
        </is>
      </c>
      <c r="AM255">
        <f>_xlfn.TEXTJOIN(" + ", TRUE, I255:M255)</f>
        <v/>
      </c>
    </row>
    <row r="256">
      <c r="A256" s="23" t="n">
        <v>243</v>
      </c>
      <c r="B256" s="1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7">
        <f>R256-Q256</f>
        <v/>
      </c>
      <c r="U256" s="7">
        <f>S256-Q256</f>
        <v/>
      </c>
      <c r="V256" s="1" t="n"/>
      <c r="W256" s="9">
        <f>S256-R256</f>
        <v/>
      </c>
      <c r="X256" s="9" t="n"/>
      <c r="AJ256" s="1" t="inlineStr">
        <is>
          <t>Procedimientos Menores - Extracción de cuerpos extraños</t>
        </is>
      </c>
      <c r="AM256">
        <f>_xlfn.TEXTJOIN(" + ", TRUE, I256:M256)</f>
        <v/>
      </c>
    </row>
    <row r="257">
      <c r="A257" s="23" t="n">
        <v>244</v>
      </c>
      <c r="B257" s="1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7">
        <f>R257-Q257</f>
        <v/>
      </c>
      <c r="U257" s="7">
        <f>S257-Q257</f>
        <v/>
      </c>
      <c r="V257" s="1" t="n"/>
      <c r="W257" s="9">
        <f>S257-R257</f>
        <v/>
      </c>
      <c r="X257" s="9" t="n"/>
      <c r="AJ257" s="1" t="inlineStr">
        <is>
          <t>Procedimientos Menores - Sutura de heridas</t>
        </is>
      </c>
      <c r="AM257">
        <f>_xlfn.TEXTJOIN(" + ", TRUE, I257:M257)</f>
        <v/>
      </c>
    </row>
    <row r="258">
      <c r="A258" s="23" t="n">
        <v>245</v>
      </c>
      <c r="B258" s="1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7">
        <f>R258-Q258</f>
        <v/>
      </c>
      <c r="U258" s="7">
        <f>S258-Q258</f>
        <v/>
      </c>
      <c r="V258" s="1" t="n"/>
      <c r="W258" s="9">
        <f>S258-R258</f>
        <v/>
      </c>
      <c r="X258" s="9" t="n"/>
      <c r="AJ258" s="1" t="inlineStr">
        <is>
          <t>Trasplantes - Trasplante de médula ósea</t>
        </is>
      </c>
      <c r="AM258">
        <f>_xlfn.TEXTJOIN(" + ", TRUE, I258:M258)</f>
        <v/>
      </c>
    </row>
    <row r="259">
      <c r="A259" s="23" t="n">
        <v>246</v>
      </c>
      <c r="B259" s="1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7">
        <f>R259-Q259</f>
        <v/>
      </c>
      <c r="U259" s="7">
        <f>S259-Q259</f>
        <v/>
      </c>
      <c r="V259" s="1" t="n"/>
      <c r="W259" s="9">
        <f>S259-R259</f>
        <v/>
      </c>
      <c r="X259" s="9" t="n"/>
      <c r="AJ259" s="1" t="inlineStr">
        <is>
          <t>Trasplantes - Trasplante hepático</t>
        </is>
      </c>
      <c r="AM259">
        <f>_xlfn.TEXTJOIN(" + ", TRUE, I259:M259)</f>
        <v/>
      </c>
    </row>
    <row r="260">
      <c r="A260" s="23" t="n">
        <v>247</v>
      </c>
      <c r="B260" s="1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7">
        <f>R260-Q260</f>
        <v/>
      </c>
      <c r="U260" s="7">
        <f>S260-Q260</f>
        <v/>
      </c>
      <c r="V260" s="1" t="n"/>
      <c r="W260" s="9">
        <f>S260-R260</f>
        <v/>
      </c>
      <c r="X260" s="9" t="n"/>
      <c r="AJ260" s="1" t="inlineStr">
        <is>
          <t>Trasplantes - Trasplante pancreático</t>
        </is>
      </c>
      <c r="AM260">
        <f>_xlfn.TEXTJOIN(" + ", TRUE, I260:M260)</f>
        <v/>
      </c>
    </row>
    <row r="261">
      <c r="A261" s="23" t="n">
        <v>248</v>
      </c>
      <c r="B261" s="1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7">
        <f>R261-Q261</f>
        <v/>
      </c>
      <c r="U261" s="7">
        <f>S261-Q261</f>
        <v/>
      </c>
      <c r="V261" s="1" t="n"/>
      <c r="W261" s="9">
        <f>S261-R261</f>
        <v/>
      </c>
      <c r="X261" s="9" t="n"/>
      <c r="AJ261" s="1" t="inlineStr">
        <is>
          <t>Trasplantes - Trasplante pulmonar</t>
        </is>
      </c>
      <c r="AM261">
        <f>_xlfn.TEXTJOIN(" + ", TRUE, I261:M261)</f>
        <v/>
      </c>
    </row>
    <row r="262">
      <c r="A262" s="23" t="n">
        <v>249</v>
      </c>
      <c r="B262" s="1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7">
        <f>R262-Q262</f>
        <v/>
      </c>
      <c r="U262" s="7">
        <f>S262-Q262</f>
        <v/>
      </c>
      <c r="V262" s="1" t="n"/>
      <c r="W262" s="9">
        <f>S262-R262</f>
        <v/>
      </c>
      <c r="X262" s="9" t="n"/>
      <c r="AJ262" s="1" t="inlineStr">
        <is>
          <t>Trasplantes - Trasplante renal</t>
        </is>
      </c>
      <c r="AM262">
        <f>_xlfn.TEXTJOIN(" + ", TRUE, I262:M262)</f>
        <v/>
      </c>
    </row>
    <row r="263">
      <c r="A263" s="23" t="n">
        <v>250</v>
      </c>
      <c r="B263" s="1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7">
        <f>R263-Q263</f>
        <v/>
      </c>
      <c r="U263" s="7">
        <f>S263-Q263</f>
        <v/>
      </c>
      <c r="V263" s="1" t="n"/>
      <c r="W263" s="9">
        <f>S263-R263</f>
        <v/>
      </c>
      <c r="X263" s="9" t="n"/>
      <c r="AJ263" s="1" t="inlineStr">
        <is>
          <t>Traumatología y Ortopedia - Amputación</t>
        </is>
      </c>
      <c r="AM263">
        <f>_xlfn.TEXTJOIN(" + ", TRUE, I263:M263)</f>
        <v/>
      </c>
    </row>
    <row r="264">
      <c r="A264" s="23" t="n">
        <v>251</v>
      </c>
      <c r="B264" s="1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7">
        <f>R264-Q264</f>
        <v/>
      </c>
      <c r="U264" s="7">
        <f>S264-Q264</f>
        <v/>
      </c>
      <c r="V264" s="1" t="n"/>
      <c r="W264" s="9">
        <f>S264-R264</f>
        <v/>
      </c>
      <c r="X264" s="9" t="n"/>
      <c r="AJ264" s="1" t="inlineStr">
        <is>
          <t>Traumatología y Ortopedia - Artroplastia</t>
        </is>
      </c>
      <c r="AM264">
        <f>_xlfn.TEXTJOIN(" + ", TRUE, I264:M264)</f>
        <v/>
      </c>
    </row>
    <row r="265">
      <c r="A265" s="23" t="n">
        <v>252</v>
      </c>
      <c r="B265" s="1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7">
        <f>R265-Q265</f>
        <v/>
      </c>
      <c r="U265" s="7">
        <f>S265-Q265</f>
        <v/>
      </c>
      <c r="V265" s="1" t="n"/>
      <c r="W265" s="9">
        <f>S265-R265</f>
        <v/>
      </c>
      <c r="X265" s="9" t="n"/>
      <c r="AJ265" s="1" t="inlineStr">
        <is>
          <t>Traumatología y Ortopedia - Artroscopía</t>
        </is>
      </c>
      <c r="AM265">
        <f>_xlfn.TEXTJOIN(" + ", TRUE, I265:M265)</f>
        <v/>
      </c>
    </row>
    <row r="266">
      <c r="A266" s="23" t="n">
        <v>253</v>
      </c>
      <c r="B266" s="1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7">
        <f>R266-Q266</f>
        <v/>
      </c>
      <c r="U266" s="7">
        <f>S266-Q266</f>
        <v/>
      </c>
      <c r="V266" s="1" t="n"/>
      <c r="W266" s="9">
        <f>S266-R266</f>
        <v/>
      </c>
      <c r="X266" s="9" t="n"/>
      <c r="AJ266" s="1" t="inlineStr">
        <is>
          <t>Traumatología y Ortopedia - Cirugía de columna</t>
        </is>
      </c>
      <c r="AM266">
        <f>_xlfn.TEXTJOIN(" + ", TRUE, I266:M266)</f>
        <v/>
      </c>
    </row>
    <row r="267">
      <c r="A267" s="23" t="n">
        <v>254</v>
      </c>
      <c r="B267" s="1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7">
        <f>R267-Q267</f>
        <v/>
      </c>
      <c r="U267" s="7">
        <f>S267-Q267</f>
        <v/>
      </c>
      <c r="V267" s="1" t="n"/>
      <c r="W267" s="9">
        <f>S267-R267</f>
        <v/>
      </c>
      <c r="X267" s="9" t="n"/>
      <c r="AJ267" s="1" t="inlineStr">
        <is>
          <t>Traumatología y Ortopedia - Cirugía de mano</t>
        </is>
      </c>
      <c r="AM267">
        <f>_xlfn.TEXTJOIN(" + ", TRUE, I267:M267)</f>
        <v/>
      </c>
    </row>
    <row r="268">
      <c r="A268" s="23" t="n">
        <v>255</v>
      </c>
      <c r="B268" s="1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7">
        <f>R268-Q268</f>
        <v/>
      </c>
      <c r="U268" s="7">
        <f>S268-Q268</f>
        <v/>
      </c>
      <c r="V268" s="1" t="n"/>
      <c r="W268" s="9">
        <f>S268-R268</f>
        <v/>
      </c>
      <c r="X268" s="9" t="n"/>
      <c r="AJ268" s="1" t="inlineStr">
        <is>
          <t>Traumatología y Ortopedia - Cirugía de pie</t>
        </is>
      </c>
      <c r="AM268">
        <f>_xlfn.TEXTJOIN(" + ", TRUE, I268:M268)</f>
        <v/>
      </c>
    </row>
    <row r="269">
      <c r="A269" s="23" t="n">
        <v>256</v>
      </c>
      <c r="B269" s="1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7">
        <f>R269-Q269</f>
        <v/>
      </c>
      <c r="U269" s="7">
        <f>S269-Q269</f>
        <v/>
      </c>
      <c r="V269" s="1" t="n"/>
      <c r="W269" s="9">
        <f>S269-R269</f>
        <v/>
      </c>
      <c r="X269" s="9" t="n"/>
      <c r="AJ269" s="1" t="inlineStr">
        <is>
          <t>Traumatología y Ortopedia - Corrección de deformidades</t>
        </is>
      </c>
      <c r="AM269">
        <f>_xlfn.TEXTJOIN(" + ", TRUE, I269:M269)</f>
        <v/>
      </c>
    </row>
    <row r="270">
      <c r="A270" s="23" t="n">
        <v>257</v>
      </c>
      <c r="B270" s="1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7">
        <f>R270-Q270</f>
        <v/>
      </c>
      <c r="U270" s="7">
        <f>S270-Q270</f>
        <v/>
      </c>
      <c r="V270" s="1" t="n"/>
      <c r="W270" s="9">
        <f>S270-R270</f>
        <v/>
      </c>
      <c r="X270" s="9" t="n"/>
      <c r="AJ270" s="1" t="inlineStr">
        <is>
          <t>Traumatología y Ortopedia - Corrección de escoliosis</t>
        </is>
      </c>
      <c r="AM270">
        <f>_xlfn.TEXTJOIN(" + ", TRUE, I270:M270)</f>
        <v/>
      </c>
    </row>
    <row r="271">
      <c r="A271" s="23" t="n">
        <v>258</v>
      </c>
      <c r="B271" s="1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7">
        <f>R271-Q271</f>
        <v/>
      </c>
      <c r="U271" s="7">
        <f>S271-Q271</f>
        <v/>
      </c>
      <c r="V271" s="1" t="n"/>
      <c r="W271" s="9">
        <f>S271-R271</f>
        <v/>
      </c>
      <c r="X271" s="9" t="n"/>
      <c r="AJ271" s="1" t="inlineStr">
        <is>
          <t>Traumatología y Ortopedia - Fijación externa</t>
        </is>
      </c>
      <c r="AM271">
        <f>_xlfn.TEXTJOIN(" + ", TRUE, I271:M271)</f>
        <v/>
      </c>
    </row>
    <row r="272">
      <c r="A272" s="23" t="n">
        <v>259</v>
      </c>
      <c r="B272" s="1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7">
        <f>R272-Q272</f>
        <v/>
      </c>
      <c r="U272" s="7">
        <f>S272-Q272</f>
        <v/>
      </c>
      <c r="V272" s="1" t="n"/>
      <c r="W272" s="9">
        <f>S272-R272</f>
        <v/>
      </c>
      <c r="X272" s="9" t="n"/>
      <c r="AJ272" s="1" t="inlineStr">
        <is>
          <t>Traumatología y Ortopedia - Fijación percutánea</t>
        </is>
      </c>
      <c r="AM272">
        <f>_xlfn.TEXTJOIN(" + ", TRUE, I272:M272)</f>
        <v/>
      </c>
    </row>
    <row r="273">
      <c r="A273" s="23" t="n">
        <v>260</v>
      </c>
      <c r="B273" s="1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7">
        <f>R273-Q273</f>
        <v/>
      </c>
      <c r="U273" s="7">
        <f>S273-Q273</f>
        <v/>
      </c>
      <c r="V273" s="1" t="n"/>
      <c r="W273" s="9">
        <f>S273-R273</f>
        <v/>
      </c>
      <c r="X273" s="9" t="n"/>
      <c r="AJ273" s="1" t="inlineStr">
        <is>
          <t>Traumatología y Ortopedia - Fijador externo</t>
        </is>
      </c>
      <c r="AM273">
        <f>_xlfn.TEXTJOIN(" + ", TRUE, I273:M273)</f>
        <v/>
      </c>
    </row>
    <row r="274">
      <c r="A274" s="23" t="n">
        <v>261</v>
      </c>
      <c r="B274" s="1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7">
        <f>R274-Q274</f>
        <v/>
      </c>
      <c r="U274" s="7">
        <f>S274-Q274</f>
        <v/>
      </c>
      <c r="V274" s="1" t="n"/>
      <c r="W274" s="9">
        <f>S274-R274</f>
        <v/>
      </c>
      <c r="X274" s="9" t="n"/>
      <c r="AJ274" s="1" t="inlineStr">
        <is>
          <t>Traumatología y Ortopedia - Infección en sitio quirúrgico</t>
        </is>
      </c>
      <c r="AM274">
        <f>_xlfn.TEXTJOIN(" + ", TRUE, I274:M274)</f>
        <v/>
      </c>
    </row>
    <row r="275">
      <c r="A275" s="23" t="n">
        <v>262</v>
      </c>
      <c r="B275" s="1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7">
        <f>R275-Q275</f>
        <v/>
      </c>
      <c r="U275" s="7">
        <f>S275-Q275</f>
        <v/>
      </c>
      <c r="V275" s="1" t="n"/>
      <c r="W275" s="9">
        <f>S275-R275</f>
        <v/>
      </c>
      <c r="X275" s="9" t="n"/>
      <c r="AJ275" s="1" t="inlineStr">
        <is>
          <t>Traumatología y Ortopedia - Liberación del túnel carpiano</t>
        </is>
      </c>
      <c r="AM275">
        <f>_xlfn.TEXTJOIN(" + ", TRUE, I275:M275)</f>
        <v/>
      </c>
    </row>
    <row r="276">
      <c r="A276" s="23" t="n">
        <v>263</v>
      </c>
      <c r="B276" s="1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7">
        <f>R276-Q276</f>
        <v/>
      </c>
      <c r="U276" s="7">
        <f>S276-Q276</f>
        <v/>
      </c>
      <c r="V276" s="1" t="n"/>
      <c r="W276" s="9">
        <f>S276-R276</f>
        <v/>
      </c>
      <c r="X276" s="9" t="n"/>
      <c r="AJ276" s="1" t="inlineStr">
        <is>
          <t>Traumatología y Ortopedia - Manejo conservador</t>
        </is>
      </c>
      <c r="AM276">
        <f>_xlfn.TEXTJOIN(" + ", TRUE, I276:M276)</f>
        <v/>
      </c>
    </row>
    <row r="277">
      <c r="A277" s="23" t="n">
        <v>264</v>
      </c>
      <c r="B277" s="1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7">
        <f>R277-Q277</f>
        <v/>
      </c>
      <c r="U277" s="7">
        <f>S277-Q277</f>
        <v/>
      </c>
      <c r="V277" s="1" t="n"/>
      <c r="W277" s="9">
        <f>S277-R277</f>
        <v/>
      </c>
      <c r="X277" s="9" t="n"/>
      <c r="AJ277" s="1" t="inlineStr">
        <is>
          <t>Traumatología y Ortopedia - Meniscectomía</t>
        </is>
      </c>
      <c r="AM277">
        <f>_xlfn.TEXTJOIN(" + ", TRUE, I277:M277)</f>
        <v/>
      </c>
    </row>
    <row r="278">
      <c r="A278" s="23" t="n">
        <v>265</v>
      </c>
      <c r="B278" s="1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7">
        <f>R278-Q278</f>
        <v/>
      </c>
      <c r="U278" s="7">
        <f>S278-Q278</f>
        <v/>
      </c>
      <c r="V278" s="1" t="n"/>
      <c r="W278" s="9">
        <f>S278-R278</f>
        <v/>
      </c>
      <c r="X278" s="9" t="n"/>
      <c r="AJ278" s="1" t="inlineStr">
        <is>
          <t>Traumatología y Ortopedia - Osteosíntesis</t>
        </is>
      </c>
      <c r="AM278">
        <f>_xlfn.TEXTJOIN(" + ", TRUE, I278:M278)</f>
        <v/>
      </c>
    </row>
    <row r="279">
      <c r="A279" s="23" t="n">
        <v>266</v>
      </c>
      <c r="B279" s="1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7">
        <f>R279-Q279</f>
        <v/>
      </c>
      <c r="U279" s="7">
        <f>S279-Q279</f>
        <v/>
      </c>
      <c r="V279" s="1" t="n"/>
      <c r="W279" s="9">
        <f>S279-R279</f>
        <v/>
      </c>
      <c r="X279" s="9" t="n"/>
      <c r="AJ279" s="1" t="inlineStr">
        <is>
          <t>Traumatología y Ortopedia - Osteostomía</t>
        </is>
      </c>
      <c r="AM279">
        <f>_xlfn.TEXTJOIN(" + ", TRUE, I279:M279)</f>
        <v/>
      </c>
    </row>
    <row r="280">
      <c r="A280" s="23" t="n">
        <v>267</v>
      </c>
      <c r="B280" s="1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7">
        <f>R280-Q280</f>
        <v/>
      </c>
      <c r="U280" s="7">
        <f>S280-Q280</f>
        <v/>
      </c>
      <c r="V280" s="1" t="n"/>
      <c r="W280" s="9">
        <f>S280-R280</f>
        <v/>
      </c>
      <c r="X280" s="9" t="n"/>
      <c r="AJ280" s="1" t="inlineStr">
        <is>
          <t>Traumatología y Ortopedia - Reducción abierta y fijación interna (RAFI)</t>
        </is>
      </c>
      <c r="AM280">
        <f>_xlfn.TEXTJOIN(" + ", TRUE, I280:M280)</f>
        <v/>
      </c>
    </row>
    <row r="281">
      <c r="A281" s="23" t="n">
        <v>268</v>
      </c>
      <c r="B281" s="1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7">
        <f>R281-Q281</f>
        <v/>
      </c>
      <c r="U281" s="7">
        <f>S281-Q281</f>
        <v/>
      </c>
      <c r="V281" s="1" t="n"/>
      <c r="W281" s="9">
        <f>S281-R281</f>
        <v/>
      </c>
      <c r="X281" s="9" t="n"/>
      <c r="AJ281" s="1" t="inlineStr">
        <is>
          <t>Traumatología y Ortopedia - Reducción cerrada de fractura</t>
        </is>
      </c>
      <c r="AM281">
        <f>_xlfn.TEXTJOIN(" + ", TRUE, I281:M281)</f>
        <v/>
      </c>
    </row>
    <row r="282">
      <c r="A282" s="23" t="n">
        <v>269</v>
      </c>
      <c r="B282" s="1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7">
        <f>R282-Q282</f>
        <v/>
      </c>
      <c r="U282" s="7">
        <f>S282-Q282</f>
        <v/>
      </c>
      <c r="V282" s="1" t="n"/>
      <c r="W282" s="9">
        <f>S282-R282</f>
        <v/>
      </c>
      <c r="X282" s="9" t="n"/>
      <c r="AJ282" s="1" t="inlineStr">
        <is>
          <t>Traumatología y Ortopedia - Reemplazo de cadera</t>
        </is>
      </c>
      <c r="AM282">
        <f>_xlfn.TEXTJOIN(" + ", TRUE, I282:M282)</f>
        <v/>
      </c>
    </row>
    <row r="283">
      <c r="A283" s="23" t="n">
        <v>270</v>
      </c>
      <c r="B283" s="1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7">
        <f>R283-Q283</f>
        <v/>
      </c>
      <c r="U283" s="7">
        <f>S283-Q283</f>
        <v/>
      </c>
      <c r="V283" s="1" t="n"/>
      <c r="W283" s="9">
        <f>S283-R283</f>
        <v/>
      </c>
      <c r="X283" s="9" t="n"/>
      <c r="AJ283" s="1" t="inlineStr">
        <is>
          <t>Traumatología y Ortopedia - Reemplazo de rodilla</t>
        </is>
      </c>
      <c r="AM283">
        <f>_xlfn.TEXTJOIN(" + ", TRUE, I283:M283)</f>
        <v/>
      </c>
    </row>
    <row r="284">
      <c r="A284" s="23" t="n">
        <v>271</v>
      </c>
      <c r="B284" s="1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7">
        <f>R284-Q284</f>
        <v/>
      </c>
      <c r="U284" s="7">
        <f>S284-Q284</f>
        <v/>
      </c>
      <c r="V284" s="1" t="n"/>
      <c r="W284" s="9">
        <f>S284-R284</f>
        <v/>
      </c>
      <c r="X284" s="9" t="n"/>
      <c r="AJ284" s="1" t="inlineStr">
        <is>
          <t>Traumatología y Ortopedia - Reparación de ligamentos</t>
        </is>
      </c>
      <c r="AM284">
        <f>_xlfn.TEXTJOIN(" + ", TRUE, I284:M284)</f>
        <v/>
      </c>
    </row>
    <row r="285">
      <c r="A285" s="23" t="n">
        <v>272</v>
      </c>
      <c r="B285" s="1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7">
        <f>R285-Q285</f>
        <v/>
      </c>
      <c r="U285" s="7">
        <f>S285-Q285</f>
        <v/>
      </c>
      <c r="V285" s="1" t="n"/>
      <c r="W285" s="9">
        <f>S285-R285</f>
        <v/>
      </c>
      <c r="X285" s="9" t="n"/>
      <c r="AJ285" s="1" t="inlineStr">
        <is>
          <t>Traumatología y Ortopedia - Reparación de tendones</t>
        </is>
      </c>
      <c r="AM285">
        <f>_xlfn.TEXTJOIN(" + ", TRUE, I285:M285)</f>
        <v/>
      </c>
    </row>
    <row r="286">
      <c r="A286" s="23" t="n">
        <v>273</v>
      </c>
      <c r="B286" s="1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7">
        <f>R286-Q286</f>
        <v/>
      </c>
      <c r="U286" s="7">
        <f>S286-Q286</f>
        <v/>
      </c>
      <c r="V286" s="1" t="n"/>
      <c r="W286" s="9">
        <f>S286-R286</f>
        <v/>
      </c>
      <c r="X286" s="9" t="n"/>
      <c r="AJ286" s="1" t="inlineStr">
        <is>
          <t>Traumatología y Ortopedia - Síndrome compartimental (fasciotomía)</t>
        </is>
      </c>
      <c r="AM286">
        <f>_xlfn.TEXTJOIN(" + ", TRUE, I286:M286)</f>
        <v/>
      </c>
    </row>
    <row r="287">
      <c r="A287" s="23" t="n">
        <v>274</v>
      </c>
      <c r="B287" s="1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7">
        <f>R287-Q287</f>
        <v/>
      </c>
      <c r="U287" s="7">
        <f>S287-Q287</f>
        <v/>
      </c>
      <c r="V287" s="1" t="n"/>
      <c r="W287" s="9">
        <f>S287-R287</f>
        <v/>
      </c>
      <c r="X287" s="9" t="n"/>
      <c r="AJ287" s="1" t="inlineStr">
        <is>
          <t>Traumatología y Ortopedia - Tenorrafia</t>
        </is>
      </c>
      <c r="AM287">
        <f>_xlfn.TEXTJOIN(" + ", TRUE, I287:M287)</f>
        <v/>
      </c>
    </row>
    <row r="288">
      <c r="A288" s="23" t="n">
        <v>275</v>
      </c>
      <c r="B288" s="1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7">
        <f>R288-Q288</f>
        <v/>
      </c>
      <c r="U288" s="7">
        <f>S288-Q288</f>
        <v/>
      </c>
      <c r="V288" s="1" t="n"/>
      <c r="W288" s="9">
        <f>S288-R288</f>
        <v/>
      </c>
      <c r="X288" s="9" t="n"/>
      <c r="AJ288" s="1" t="inlineStr">
        <is>
          <t>Traumatología y Ortopedia - Tratamiento quirúrgico de fractura expuesta</t>
        </is>
      </c>
      <c r="AM288">
        <f>_xlfn.TEXTJOIN(" + ", TRUE, I288:M288)</f>
        <v/>
      </c>
    </row>
    <row r="289">
      <c r="A289" s="23" t="n">
        <v>276</v>
      </c>
      <c r="B289" s="1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7">
        <f>R289-Q289</f>
        <v/>
      </c>
      <c r="U289" s="7">
        <f>S289-Q289</f>
        <v/>
      </c>
      <c r="V289" s="1" t="n"/>
      <c r="W289" s="9">
        <f>S289-R289</f>
        <v/>
      </c>
      <c r="X289" s="9" t="n"/>
      <c r="AJ289" s="1" t="inlineStr">
        <is>
          <t>Urología - Circuncisión</t>
        </is>
      </c>
      <c r="AM289">
        <f>_xlfn.TEXTJOIN(" + ", TRUE, I289:M289)</f>
        <v/>
      </c>
    </row>
    <row r="290">
      <c r="A290" s="23" t="n">
        <v>277</v>
      </c>
      <c r="B290" s="1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7">
        <f>R290-Q290</f>
        <v/>
      </c>
      <c r="U290" s="7">
        <f>S290-Q290</f>
        <v/>
      </c>
      <c r="V290" s="1" t="n"/>
      <c r="W290" s="9">
        <f>S290-R290</f>
        <v/>
      </c>
      <c r="X290" s="9" t="n"/>
      <c r="AJ290" s="1" t="inlineStr">
        <is>
          <t>Urología - Cirugía de hidrocele</t>
        </is>
      </c>
      <c r="AM290">
        <f>_xlfn.TEXTJOIN(" + ", TRUE, I290:M290)</f>
        <v/>
      </c>
    </row>
    <row r="291">
      <c r="A291" s="23" t="n">
        <v>278</v>
      </c>
      <c r="B291" s="1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7">
        <f>R291-Q291</f>
        <v/>
      </c>
      <c r="U291" s="7">
        <f>S291-Q291</f>
        <v/>
      </c>
      <c r="V291" s="1" t="n"/>
      <c r="W291" s="9">
        <f>S291-R291</f>
        <v/>
      </c>
      <c r="X291" s="9" t="n"/>
      <c r="AJ291" s="1" t="inlineStr">
        <is>
          <t>Urología - Cirugía de varicocele</t>
        </is>
      </c>
      <c r="AM291">
        <f>_xlfn.TEXTJOIN(" + ", TRUE, I291:M291)</f>
        <v/>
      </c>
    </row>
    <row r="292">
      <c r="A292" s="23" t="n">
        <v>279</v>
      </c>
      <c r="B292" s="1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7">
        <f>R292-Q292</f>
        <v/>
      </c>
      <c r="U292" s="7">
        <f>S292-Q292</f>
        <v/>
      </c>
      <c r="V292" s="1" t="n"/>
      <c r="W292" s="9">
        <f>S292-R292</f>
        <v/>
      </c>
      <c r="X292" s="9" t="n"/>
      <c r="AJ292" s="1" t="inlineStr">
        <is>
          <t>Urología - Cistolitotomía</t>
        </is>
      </c>
      <c r="AM292">
        <f>_xlfn.TEXTJOIN(" + ", TRUE, I292:M292)</f>
        <v/>
      </c>
    </row>
    <row r="293">
      <c r="A293" s="23" t="n">
        <v>280</v>
      </c>
      <c r="B293" s="1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7">
        <f>R293-Q293</f>
        <v/>
      </c>
      <c r="U293" s="7">
        <f>S293-Q293</f>
        <v/>
      </c>
      <c r="V293" s="1" t="n"/>
      <c r="W293" s="9">
        <f>S293-R293</f>
        <v/>
      </c>
      <c r="X293" s="9" t="n"/>
      <c r="AJ293" s="1" t="inlineStr">
        <is>
          <t>Urología - Cistoscopia</t>
        </is>
      </c>
      <c r="AM293">
        <f>_xlfn.TEXTJOIN(" + ", TRUE, I293:M293)</f>
        <v/>
      </c>
    </row>
    <row r="294">
      <c r="A294" s="23" t="n">
        <v>281</v>
      </c>
      <c r="B294" s="1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7">
        <f>R294-Q294</f>
        <v/>
      </c>
      <c r="U294" s="7">
        <f>S294-Q294</f>
        <v/>
      </c>
      <c r="V294" s="1" t="n"/>
      <c r="W294" s="9">
        <f>S294-R294</f>
        <v/>
      </c>
      <c r="X294" s="9" t="n"/>
      <c r="AJ294" s="1" t="inlineStr">
        <is>
          <t>Urología - Colocación de catéter doble J</t>
        </is>
      </c>
      <c r="AM294">
        <f>_xlfn.TEXTJOIN(" + ", TRUE, I294:M294)</f>
        <v/>
      </c>
    </row>
    <row r="295">
      <c r="A295" s="23" t="n">
        <v>282</v>
      </c>
      <c r="B295" s="1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7">
        <f>R295-Q295</f>
        <v/>
      </c>
      <c r="U295" s="7">
        <f>S295-Q295</f>
        <v/>
      </c>
      <c r="V295" s="1" t="n"/>
      <c r="W295" s="9">
        <f>S295-R295</f>
        <v/>
      </c>
      <c r="X295" s="9" t="n"/>
      <c r="AJ295" s="1" t="inlineStr">
        <is>
          <t>Urología - Hidrocelectomía</t>
        </is>
      </c>
      <c r="AM295">
        <f>_xlfn.TEXTJOIN(" + ", TRUE, I295:M295)</f>
        <v/>
      </c>
    </row>
    <row r="296">
      <c r="A296" s="23" t="n">
        <v>283</v>
      </c>
      <c r="B296" s="1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7">
        <f>R296-Q296</f>
        <v/>
      </c>
      <c r="U296" s="7">
        <f>S296-Q296</f>
        <v/>
      </c>
      <c r="V296" s="1" t="n"/>
      <c r="W296" s="9">
        <f>S296-R296</f>
        <v/>
      </c>
      <c r="X296" s="9" t="n"/>
      <c r="AJ296" s="1" t="inlineStr">
        <is>
          <t>Urología - Infección del tracto urinario (UTI)</t>
        </is>
      </c>
      <c r="AM296">
        <f>_xlfn.TEXTJOIN(" + ", TRUE, I296:M296)</f>
        <v/>
      </c>
    </row>
    <row r="297">
      <c r="A297" s="23" t="n">
        <v>284</v>
      </c>
      <c r="B297" s="1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7">
        <f>R297-Q297</f>
        <v/>
      </c>
      <c r="U297" s="7">
        <f>S297-Q297</f>
        <v/>
      </c>
      <c r="V297" s="1" t="n"/>
      <c r="W297" s="9">
        <f>S297-R297</f>
        <v/>
      </c>
      <c r="X297" s="9" t="n"/>
      <c r="AJ297" s="1" t="inlineStr">
        <is>
          <t>Urología - Litotricia</t>
        </is>
      </c>
      <c r="AM297">
        <f>_xlfn.TEXTJOIN(" + ", TRUE, I297:M297)</f>
        <v/>
      </c>
    </row>
    <row r="298">
      <c r="A298" s="23" t="n">
        <v>285</v>
      </c>
      <c r="B298" s="1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7">
        <f>R298-Q298</f>
        <v/>
      </c>
      <c r="U298" s="7">
        <f>S298-Q298</f>
        <v/>
      </c>
      <c r="V298" s="1" t="n"/>
      <c r="W298" s="9">
        <f>S298-R298</f>
        <v/>
      </c>
      <c r="X298" s="9" t="n"/>
      <c r="AJ298" s="1" t="inlineStr">
        <is>
          <t>Urología - Nefrectomía</t>
        </is>
      </c>
      <c r="AM298">
        <f>_xlfn.TEXTJOIN(" + ", TRUE, I298:M298)</f>
        <v/>
      </c>
    </row>
    <row r="299">
      <c r="A299" s="23" t="n">
        <v>286</v>
      </c>
      <c r="B299" s="1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7">
        <f>R299-Q299</f>
        <v/>
      </c>
      <c r="U299" s="7">
        <f>S299-Q299</f>
        <v/>
      </c>
      <c r="V299" s="1" t="n"/>
      <c r="W299" s="9">
        <f>S299-R299</f>
        <v/>
      </c>
      <c r="X299" s="9" t="n"/>
      <c r="AJ299" s="1" t="inlineStr">
        <is>
          <t>Urología - Nefrostomía</t>
        </is>
      </c>
      <c r="AM299">
        <f>_xlfn.TEXTJOIN(" + ", TRUE, I299:M299)</f>
        <v/>
      </c>
    </row>
    <row r="300">
      <c r="A300" s="23" t="n">
        <v>287</v>
      </c>
      <c r="B300" s="1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7">
        <f>R300-Q300</f>
        <v/>
      </c>
      <c r="U300" s="7">
        <f>S300-Q300</f>
        <v/>
      </c>
      <c r="V300" s="1" t="n"/>
      <c r="W300" s="9">
        <f>S300-R300</f>
        <v/>
      </c>
      <c r="X300" s="9" t="n"/>
      <c r="AJ300" s="1" t="inlineStr">
        <is>
          <t>Urología - Orquiectomía</t>
        </is>
      </c>
      <c r="AM300">
        <f>_xlfn.TEXTJOIN(" + ", TRUE, I300:M300)</f>
        <v/>
      </c>
    </row>
    <row r="301">
      <c r="A301" s="23" t="n">
        <v>288</v>
      </c>
      <c r="B301" s="1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7">
        <f>R301-Q301</f>
        <v/>
      </c>
      <c r="U301" s="7">
        <f>S301-Q301</f>
        <v/>
      </c>
      <c r="V301" s="1" t="n"/>
      <c r="W301" s="9">
        <f>S301-R301</f>
        <v/>
      </c>
      <c r="X301" s="9" t="n"/>
      <c r="AJ301" s="1" t="inlineStr">
        <is>
          <t>Urología - Pieloplastía</t>
        </is>
      </c>
      <c r="AM301">
        <f>_xlfn.TEXTJOIN(" + ", TRUE, I301:M301)</f>
        <v/>
      </c>
    </row>
    <row r="302">
      <c r="A302" s="23" t="n">
        <v>289</v>
      </c>
      <c r="B302" s="1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7">
        <f>R302-Q302</f>
        <v/>
      </c>
      <c r="U302" s="7">
        <f>S302-Q302</f>
        <v/>
      </c>
      <c r="V302" s="1" t="n"/>
      <c r="W302" s="9">
        <f>S302-R302</f>
        <v/>
      </c>
      <c r="X302" s="9" t="n"/>
      <c r="AJ302" s="1" t="inlineStr">
        <is>
          <t>Urología - Prostatectomía</t>
        </is>
      </c>
      <c r="AM302">
        <f>_xlfn.TEXTJOIN(" + ", TRUE, I302:M302)</f>
        <v/>
      </c>
    </row>
    <row r="303">
      <c r="A303" s="23" t="n">
        <v>290</v>
      </c>
      <c r="B303" s="1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7">
        <f>R303-Q303</f>
        <v/>
      </c>
      <c r="U303" s="7">
        <f>S303-Q303</f>
        <v/>
      </c>
      <c r="V303" s="1" t="n"/>
      <c r="W303" s="9">
        <f>S303-R303</f>
        <v/>
      </c>
      <c r="X303" s="9" t="n"/>
      <c r="AJ303" s="1" t="inlineStr">
        <is>
          <t>Urología - Resección transuretral de próstata</t>
        </is>
      </c>
      <c r="AM303">
        <f>_xlfn.TEXTJOIN(" + ", TRUE, I303:M303)</f>
        <v/>
      </c>
    </row>
    <row r="304">
      <c r="A304" s="23" t="n">
        <v>291</v>
      </c>
      <c r="B304" s="1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7">
        <f>R304-Q304</f>
        <v/>
      </c>
      <c r="U304" s="7">
        <f>S304-Q304</f>
        <v/>
      </c>
      <c r="V304" s="1" t="n"/>
      <c r="W304" s="9">
        <f>S304-R304</f>
        <v/>
      </c>
      <c r="X304" s="9" t="n"/>
      <c r="AJ304" s="1" t="inlineStr">
        <is>
          <t>Urología - Ureterolitotomía</t>
        </is>
      </c>
      <c r="AM304">
        <f>_xlfn.TEXTJOIN(" + ", TRUE, I304:M304)</f>
        <v/>
      </c>
    </row>
    <row r="305">
      <c r="A305" s="23" t="n">
        <v>292</v>
      </c>
      <c r="B305" s="1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7">
        <f>R305-Q305</f>
        <v/>
      </c>
      <c r="U305" s="7">
        <f>S305-Q305</f>
        <v/>
      </c>
      <c r="V305" s="1" t="n"/>
      <c r="W305" s="9">
        <f>S305-R305</f>
        <v/>
      </c>
      <c r="X305" s="9" t="n"/>
      <c r="AJ305" s="1" t="inlineStr">
        <is>
          <t>Urología - Ureteroscopia</t>
        </is>
      </c>
      <c r="AM305">
        <f>_xlfn.TEXTJOIN(" + ", TRUE, I305:M305)</f>
        <v/>
      </c>
    </row>
    <row r="306">
      <c r="A306" s="23" t="n">
        <v>293</v>
      </c>
      <c r="B306" s="1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7">
        <f>R306-Q306</f>
        <v/>
      </c>
      <c r="U306" s="7">
        <f>S306-Q306</f>
        <v/>
      </c>
      <c r="V306" s="1" t="n"/>
      <c r="W306" s="9">
        <f>S306-R306</f>
        <v/>
      </c>
      <c r="X306" s="9" t="n"/>
      <c r="AJ306" s="1" t="inlineStr">
        <is>
          <t>Urología - Varicocelectomía</t>
        </is>
      </c>
      <c r="AM306">
        <f>_xlfn.TEXTJOIN(" + ", TRUE, I306:M306)</f>
        <v/>
      </c>
    </row>
    <row r="307">
      <c r="A307" s="23" t="n">
        <v>294</v>
      </c>
      <c r="B307" s="1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7">
        <f>R307-Q307</f>
        <v/>
      </c>
      <c r="U307" s="7">
        <f>S307-Q307</f>
        <v/>
      </c>
      <c r="V307" s="1" t="n"/>
      <c r="W307" s="9">
        <f>S307-R307</f>
        <v/>
      </c>
      <c r="X307" s="9" t="n"/>
      <c r="AJ307" s="1" t="inlineStr">
        <is>
          <t>Urología - Vasectomía</t>
        </is>
      </c>
      <c r="AM307">
        <f>_xlfn.TEXTJOIN(" + ", TRUE, I307:M307)</f>
        <v/>
      </c>
    </row>
    <row r="308">
      <c r="A308" s="23" t="n">
        <v>295</v>
      </c>
      <c r="B308" s="1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7">
        <f>R308-Q308</f>
        <v/>
      </c>
      <c r="U308" s="7">
        <f>S308-Q308</f>
        <v/>
      </c>
      <c r="V308" s="1" t="n"/>
      <c r="W308" s="9">
        <f>S308-R308</f>
        <v/>
      </c>
      <c r="X308" s="9" t="n"/>
      <c r="AM308">
        <f>_xlfn.TEXTJOIN(" + ", TRUE, I308:M308)</f>
        <v/>
      </c>
    </row>
    <row r="309">
      <c r="A309" s="23" t="n">
        <v>296</v>
      </c>
      <c r="B309" s="1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7">
        <f>R309-Q309</f>
        <v/>
      </c>
      <c r="U309" s="7">
        <f>S309-Q309</f>
        <v/>
      </c>
      <c r="V309" s="1" t="n"/>
      <c r="W309" s="9">
        <f>S309-R309</f>
        <v/>
      </c>
      <c r="X309" s="9" t="n"/>
      <c r="AM309">
        <f>_xlfn.TEXTJOIN(" + ", TRUE, I309:M309)</f>
        <v/>
      </c>
    </row>
    <row r="310">
      <c r="A310" s="23" t="n">
        <v>297</v>
      </c>
      <c r="B310" s="1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7">
        <f>R310-Q310</f>
        <v/>
      </c>
      <c r="U310" s="7">
        <f>S310-Q310</f>
        <v/>
      </c>
      <c r="V310" s="1" t="n"/>
      <c r="W310" s="9">
        <f>S310-R310</f>
        <v/>
      </c>
      <c r="X310" s="9" t="n"/>
      <c r="AM310">
        <f>_xlfn.TEXTJOIN(" + ", TRUE, I310:M310)</f>
        <v/>
      </c>
    </row>
    <row r="311">
      <c r="A311" s="23" t="n">
        <v>298</v>
      </c>
      <c r="B311" s="1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7">
        <f>R311-Q311</f>
        <v/>
      </c>
      <c r="U311" s="7">
        <f>S311-Q311</f>
        <v/>
      </c>
      <c r="V311" s="1" t="n"/>
      <c r="W311" s="9">
        <f>S311-R311</f>
        <v/>
      </c>
      <c r="X311" s="9" t="n"/>
      <c r="AM311">
        <f>_xlfn.TEXTJOIN(" + ", TRUE, I311:M311)</f>
        <v/>
      </c>
    </row>
    <row r="312">
      <c r="A312" s="23" t="n">
        <v>299</v>
      </c>
      <c r="B312" s="1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7">
        <f>R312-Q312</f>
        <v/>
      </c>
      <c r="U312" s="7">
        <f>S312-Q312</f>
        <v/>
      </c>
      <c r="V312" s="1" t="n"/>
      <c r="W312" s="9">
        <f>S312-R312</f>
        <v/>
      </c>
      <c r="X312" s="9" t="n"/>
      <c r="AM312">
        <f>_xlfn.TEXTJOIN(" + ", TRUE, I312:M312)</f>
        <v/>
      </c>
    </row>
    <row r="313">
      <c r="A313" s="23" t="n">
        <v>300</v>
      </c>
      <c r="B313" s="1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7">
        <f>R313-Q313</f>
        <v/>
      </c>
      <c r="U313" s="7">
        <f>S313-Q313</f>
        <v/>
      </c>
      <c r="V313" s="1" t="n"/>
      <c r="W313" s="9">
        <f>S313-R313</f>
        <v/>
      </c>
      <c r="X313" s="9" t="n"/>
      <c r="AM313">
        <f>_xlfn.TEXTJOIN(" + ", TRUE, I313:M313)</f>
        <v/>
      </c>
    </row>
    <row r="314">
      <c r="A314" s="23" t="n">
        <v>301</v>
      </c>
      <c r="B314" s="1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7">
        <f>R314-Q314</f>
        <v/>
      </c>
      <c r="U314" s="7">
        <f>S314-Q314</f>
        <v/>
      </c>
      <c r="V314" s="1" t="n"/>
      <c r="W314" s="9">
        <f>S314-R314</f>
        <v/>
      </c>
      <c r="X314" s="9" t="n"/>
      <c r="AM314">
        <f>_xlfn.TEXTJOIN(" + ", TRUE, I314:M314)</f>
        <v/>
      </c>
    </row>
    <row r="315">
      <c r="A315" s="23" t="n">
        <v>302</v>
      </c>
      <c r="B315" s="1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7">
        <f>R315-Q315</f>
        <v/>
      </c>
      <c r="U315" s="7">
        <f>S315-Q315</f>
        <v/>
      </c>
      <c r="V315" s="1" t="n"/>
      <c r="W315" s="9">
        <f>S315-R315</f>
        <v/>
      </c>
      <c r="X315" s="9" t="n"/>
      <c r="AM315">
        <f>_xlfn.TEXTJOIN(" + ", TRUE, I315:M315)</f>
        <v/>
      </c>
    </row>
    <row r="316">
      <c r="A316" s="23" t="n">
        <v>303</v>
      </c>
      <c r="B316" s="1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7">
        <f>R316-Q316</f>
        <v/>
      </c>
      <c r="U316" s="7">
        <f>S316-Q316</f>
        <v/>
      </c>
      <c r="V316" s="1" t="n"/>
      <c r="W316" s="9">
        <f>S316-R316</f>
        <v/>
      </c>
      <c r="X316" s="9" t="n"/>
      <c r="AM316">
        <f>_xlfn.TEXTJOIN(" + ", TRUE, I316:M316)</f>
        <v/>
      </c>
    </row>
    <row r="317">
      <c r="A317" s="23" t="n">
        <v>304</v>
      </c>
      <c r="B317" s="1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7">
        <f>R317-Q317</f>
        <v/>
      </c>
      <c r="U317" s="7">
        <f>S317-Q317</f>
        <v/>
      </c>
      <c r="V317" s="1" t="n"/>
      <c r="W317" s="9">
        <f>S317-R317</f>
        <v/>
      </c>
      <c r="X317" s="9" t="n"/>
      <c r="AM317">
        <f>_xlfn.TEXTJOIN(" + ", TRUE, I317:M317)</f>
        <v/>
      </c>
    </row>
    <row r="318">
      <c r="A318" s="23" t="n">
        <v>305</v>
      </c>
      <c r="B318" s="1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7">
        <f>R318-Q318</f>
        <v/>
      </c>
      <c r="U318" s="7">
        <f>S318-Q318</f>
        <v/>
      </c>
      <c r="V318" s="1" t="n"/>
      <c r="W318" s="9">
        <f>S318-R318</f>
        <v/>
      </c>
      <c r="X318" s="9" t="n"/>
      <c r="AM318">
        <f>_xlfn.TEXTJOIN(" + ", TRUE, I318:M318)</f>
        <v/>
      </c>
    </row>
    <row r="319">
      <c r="A319" s="23" t="n">
        <v>306</v>
      </c>
      <c r="B319" s="1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7">
        <f>R319-Q319</f>
        <v/>
      </c>
      <c r="U319" s="7">
        <f>S319-Q319</f>
        <v/>
      </c>
      <c r="V319" s="1" t="n"/>
      <c r="W319" s="9">
        <f>S319-R319</f>
        <v/>
      </c>
      <c r="X319" s="9" t="n"/>
      <c r="AM319">
        <f>_xlfn.TEXTJOIN(" + ", TRUE, I319:M319)</f>
        <v/>
      </c>
    </row>
    <row r="320">
      <c r="A320" s="23" t="n">
        <v>307</v>
      </c>
      <c r="B320" s="1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7">
        <f>R320-Q320</f>
        <v/>
      </c>
      <c r="U320" s="7">
        <f>S320-Q320</f>
        <v/>
      </c>
      <c r="V320" s="1" t="n"/>
      <c r="W320" s="9">
        <f>S320-R320</f>
        <v/>
      </c>
      <c r="X320" s="9" t="n"/>
      <c r="AM320">
        <f>_xlfn.TEXTJOIN(" + ", TRUE, I320:M320)</f>
        <v/>
      </c>
    </row>
    <row r="321">
      <c r="A321" s="23" t="n">
        <v>308</v>
      </c>
      <c r="B321" s="1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7">
        <f>R321-Q321</f>
        <v/>
      </c>
      <c r="U321" s="7">
        <f>S321-Q321</f>
        <v/>
      </c>
      <c r="V321" s="1" t="n"/>
      <c r="W321" s="9">
        <f>S321-R321</f>
        <v/>
      </c>
      <c r="X321" s="9" t="n"/>
      <c r="AM321">
        <f>_xlfn.TEXTJOIN(" + ", TRUE, I321:M321)</f>
        <v/>
      </c>
    </row>
    <row r="322">
      <c r="A322" s="23" t="n">
        <v>309</v>
      </c>
      <c r="B322" s="1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7">
        <f>R322-Q322</f>
        <v/>
      </c>
      <c r="U322" s="7">
        <f>S322-Q322</f>
        <v/>
      </c>
      <c r="V322" s="1" t="n"/>
      <c r="W322" s="9">
        <f>S322-R322</f>
        <v/>
      </c>
      <c r="X322" s="9" t="n"/>
      <c r="AM322">
        <f>_xlfn.TEXTJOIN(" + ", TRUE, I322:M322)</f>
        <v/>
      </c>
    </row>
    <row r="323">
      <c r="A323" s="23" t="n">
        <v>310</v>
      </c>
      <c r="B323" s="1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7">
        <f>R323-Q323</f>
        <v/>
      </c>
      <c r="U323" s="7">
        <f>S323-Q323</f>
        <v/>
      </c>
      <c r="V323" s="1" t="n"/>
      <c r="W323" s="9">
        <f>S323-R323</f>
        <v/>
      </c>
      <c r="X323" s="9" t="n"/>
      <c r="AM323">
        <f>_xlfn.TEXTJOIN(" + ", TRUE, I323:M323)</f>
        <v/>
      </c>
    </row>
    <row r="324">
      <c r="A324" s="23" t="n">
        <v>311</v>
      </c>
      <c r="B324" s="1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7">
        <f>R324-Q324</f>
        <v/>
      </c>
      <c r="U324" s="7">
        <f>S324-Q324</f>
        <v/>
      </c>
      <c r="V324" s="1" t="n"/>
      <c r="W324" s="9">
        <f>S324-R324</f>
        <v/>
      </c>
      <c r="X324" s="9" t="n"/>
      <c r="AM324">
        <f>_xlfn.TEXTJOIN(" + ", TRUE, I324:M324)</f>
        <v/>
      </c>
    </row>
    <row r="325">
      <c r="A325" s="23" t="n">
        <v>312</v>
      </c>
      <c r="B325" s="1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7">
        <f>R325-Q325</f>
        <v/>
      </c>
      <c r="U325" s="7">
        <f>S325-Q325</f>
        <v/>
      </c>
      <c r="V325" s="1" t="n"/>
      <c r="W325" s="9">
        <f>S325-R325</f>
        <v/>
      </c>
      <c r="X325" s="9" t="n"/>
      <c r="AM325">
        <f>_xlfn.TEXTJOIN(" + ", TRUE, I325:M325)</f>
        <v/>
      </c>
    </row>
    <row r="326">
      <c r="A326" s="23" t="n">
        <v>313</v>
      </c>
      <c r="B326" s="1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7">
        <f>R326-Q326</f>
        <v/>
      </c>
      <c r="U326" s="7">
        <f>S326-Q326</f>
        <v/>
      </c>
      <c r="V326" s="1" t="n"/>
      <c r="W326" s="9">
        <f>S326-R326</f>
        <v/>
      </c>
      <c r="X326" s="9" t="n"/>
      <c r="AM326">
        <f>_xlfn.TEXTJOIN(" + ", TRUE, I326:M326)</f>
        <v/>
      </c>
    </row>
    <row r="327">
      <c r="A327" s="23" t="n">
        <v>314</v>
      </c>
      <c r="B327" s="1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7">
        <f>R327-Q327</f>
        <v/>
      </c>
      <c r="U327" s="7">
        <f>S327-Q327</f>
        <v/>
      </c>
      <c r="V327" s="1" t="n"/>
      <c r="W327" s="9">
        <f>S327-R327</f>
        <v/>
      </c>
      <c r="X327" s="9" t="n"/>
      <c r="AM327">
        <f>_xlfn.TEXTJOIN(" + ", TRUE, I327:M327)</f>
        <v/>
      </c>
    </row>
    <row r="328">
      <c r="A328" s="23" t="n">
        <v>315</v>
      </c>
      <c r="B328" s="1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7">
        <f>R328-Q328</f>
        <v/>
      </c>
      <c r="U328" s="7">
        <f>S328-Q328</f>
        <v/>
      </c>
      <c r="V328" s="1" t="n"/>
      <c r="W328" s="9">
        <f>S328-R328</f>
        <v/>
      </c>
      <c r="X328" s="9" t="n"/>
      <c r="AM328">
        <f>_xlfn.TEXTJOIN(" + ", TRUE, I328:M328)</f>
        <v/>
      </c>
    </row>
    <row r="329">
      <c r="A329" s="23" t="n">
        <v>316</v>
      </c>
      <c r="B329" s="1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7">
        <f>R329-Q329</f>
        <v/>
      </c>
      <c r="U329" s="7">
        <f>S329-Q329</f>
        <v/>
      </c>
      <c r="V329" s="1" t="n"/>
      <c r="W329" s="9">
        <f>S329-R329</f>
        <v/>
      </c>
      <c r="X329" s="9" t="n"/>
      <c r="AM329">
        <f>_xlfn.TEXTJOIN(" + ", TRUE, I329:M329)</f>
        <v/>
      </c>
    </row>
    <row r="330">
      <c r="A330" s="23" t="n">
        <v>317</v>
      </c>
      <c r="B330" s="1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7">
        <f>R330-Q330</f>
        <v/>
      </c>
      <c r="U330" s="7">
        <f>S330-Q330</f>
        <v/>
      </c>
      <c r="V330" s="1" t="n"/>
      <c r="W330" s="9">
        <f>S330-R330</f>
        <v/>
      </c>
      <c r="X330" s="9" t="n"/>
      <c r="AM330">
        <f>_xlfn.TEXTJOIN(" + ", TRUE, I330:M330)</f>
        <v/>
      </c>
    </row>
    <row r="331">
      <c r="A331" s="23" t="n">
        <v>318</v>
      </c>
      <c r="B331" s="1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7">
        <f>R331-Q331</f>
        <v/>
      </c>
      <c r="U331" s="7">
        <f>S331-Q331</f>
        <v/>
      </c>
      <c r="V331" s="1" t="n"/>
      <c r="W331" s="9">
        <f>S331-R331</f>
        <v/>
      </c>
      <c r="X331" s="9" t="n"/>
      <c r="AM331">
        <f>_xlfn.TEXTJOIN(" + ", TRUE, I331:M331)</f>
        <v/>
      </c>
    </row>
    <row r="332">
      <c r="A332" s="23" t="n">
        <v>319</v>
      </c>
      <c r="B332" s="1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7">
        <f>R332-Q332</f>
        <v/>
      </c>
      <c r="U332" s="7">
        <f>S332-Q332</f>
        <v/>
      </c>
      <c r="V332" s="1" t="n"/>
      <c r="W332" s="9">
        <f>S332-R332</f>
        <v/>
      </c>
      <c r="X332" s="9" t="n"/>
      <c r="AM332">
        <f>_xlfn.TEXTJOIN(" + ", TRUE, I332:M332)</f>
        <v/>
      </c>
    </row>
    <row r="333">
      <c r="A333" s="23" t="n">
        <v>320</v>
      </c>
      <c r="B333" s="1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7">
        <f>R333-Q333</f>
        <v/>
      </c>
      <c r="U333" s="7">
        <f>S333-Q333</f>
        <v/>
      </c>
      <c r="V333" s="1" t="n"/>
      <c r="W333" s="9">
        <f>S333-R333</f>
        <v/>
      </c>
      <c r="X333" s="9" t="n"/>
      <c r="AM333">
        <f>_xlfn.TEXTJOIN(" + ", TRUE, I333:M333)</f>
        <v/>
      </c>
    </row>
    <row r="334">
      <c r="A334" s="23" t="n">
        <v>321</v>
      </c>
      <c r="B334" s="1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7">
        <f>R334-Q334</f>
        <v/>
      </c>
      <c r="U334" s="7">
        <f>S334-Q334</f>
        <v/>
      </c>
      <c r="V334" s="1" t="n"/>
      <c r="W334" s="9">
        <f>S334-R334</f>
        <v/>
      </c>
      <c r="X334" s="9" t="n"/>
      <c r="AM334">
        <f>_xlfn.TEXTJOIN(" + ", TRUE, I334:M334)</f>
        <v/>
      </c>
    </row>
    <row r="335">
      <c r="A335" s="23" t="n">
        <v>322</v>
      </c>
      <c r="B335" s="1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7">
        <f>R335-Q335</f>
        <v/>
      </c>
      <c r="U335" s="7">
        <f>S335-Q335</f>
        <v/>
      </c>
      <c r="V335" s="1" t="n"/>
      <c r="W335" s="9">
        <f>S335-R335</f>
        <v/>
      </c>
      <c r="X335" s="9" t="n"/>
      <c r="AM335">
        <f>_xlfn.TEXTJOIN(" + ", TRUE, I335:M335)</f>
        <v/>
      </c>
    </row>
    <row r="336">
      <c r="A336" s="23" t="n">
        <v>323</v>
      </c>
      <c r="B336" s="1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7">
        <f>R336-Q336</f>
        <v/>
      </c>
      <c r="U336" s="7">
        <f>S336-Q336</f>
        <v/>
      </c>
      <c r="V336" s="1" t="n"/>
      <c r="W336" s="9">
        <f>S336-R336</f>
        <v/>
      </c>
      <c r="X336" s="9" t="n"/>
      <c r="AM336">
        <f>_xlfn.TEXTJOIN(" + ", TRUE, I336:M336)</f>
        <v/>
      </c>
    </row>
    <row r="337">
      <c r="A337" s="23" t="n">
        <v>324</v>
      </c>
      <c r="B337" s="1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7">
        <f>R337-Q337</f>
        <v/>
      </c>
      <c r="U337" s="7">
        <f>S337-Q337</f>
        <v/>
      </c>
      <c r="V337" s="1" t="n"/>
      <c r="W337" s="9">
        <f>S337-R337</f>
        <v/>
      </c>
      <c r="X337" s="9" t="n"/>
      <c r="AM337">
        <f>_xlfn.TEXTJOIN(" + ", TRUE, I337:M337)</f>
        <v/>
      </c>
    </row>
    <row r="338">
      <c r="A338" s="23" t="n">
        <v>325</v>
      </c>
      <c r="B338" s="1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7">
        <f>R338-Q338</f>
        <v/>
      </c>
      <c r="U338" s="7">
        <f>S338-Q338</f>
        <v/>
      </c>
      <c r="V338" s="1" t="n"/>
      <c r="W338" s="9">
        <f>S338-R338</f>
        <v/>
      </c>
      <c r="X338" s="9" t="n"/>
      <c r="AM338">
        <f>_xlfn.TEXTJOIN(" + ", TRUE, I338:M338)</f>
        <v/>
      </c>
    </row>
    <row r="339">
      <c r="A339" s="23" t="n">
        <v>326</v>
      </c>
      <c r="B339" s="1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7">
        <f>R339-Q339</f>
        <v/>
      </c>
      <c r="U339" s="7">
        <f>S339-Q339</f>
        <v/>
      </c>
      <c r="V339" s="1" t="n"/>
      <c r="W339" s="9">
        <f>S339-R339</f>
        <v/>
      </c>
      <c r="X339" s="9" t="n"/>
      <c r="AM339">
        <f>_xlfn.TEXTJOIN(" + ", TRUE, I339:M339)</f>
        <v/>
      </c>
    </row>
    <row r="340">
      <c r="A340" s="23" t="n">
        <v>327</v>
      </c>
      <c r="B340" s="1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7">
        <f>R340-Q340</f>
        <v/>
      </c>
      <c r="U340" s="7">
        <f>S340-Q340</f>
        <v/>
      </c>
      <c r="V340" s="1" t="n"/>
      <c r="W340" s="9">
        <f>S340-R340</f>
        <v/>
      </c>
      <c r="X340" s="9" t="n"/>
      <c r="AM340">
        <f>_xlfn.TEXTJOIN(" + ", TRUE, I340:M340)</f>
        <v/>
      </c>
    </row>
    <row r="341">
      <c r="A341" s="23" t="n">
        <v>328</v>
      </c>
      <c r="B341" s="1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7">
        <f>R341-Q341</f>
        <v/>
      </c>
      <c r="U341" s="7">
        <f>S341-Q341</f>
        <v/>
      </c>
      <c r="V341" s="1" t="n"/>
      <c r="W341" s="9">
        <f>S341-R341</f>
        <v/>
      </c>
      <c r="X341" s="9" t="n"/>
      <c r="AM341">
        <f>_xlfn.TEXTJOIN(" + ", TRUE, I341:M341)</f>
        <v/>
      </c>
    </row>
    <row r="342">
      <c r="A342" s="23" t="n">
        <v>329</v>
      </c>
      <c r="B342" s="1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7">
        <f>R342-Q342</f>
        <v/>
      </c>
      <c r="U342" s="7">
        <f>S342-Q342</f>
        <v/>
      </c>
      <c r="V342" s="1" t="n"/>
      <c r="W342" s="9">
        <f>S342-R342</f>
        <v/>
      </c>
      <c r="X342" s="9" t="n"/>
      <c r="AM342">
        <f>_xlfn.TEXTJOIN(" + ", TRUE, I342:M342)</f>
        <v/>
      </c>
    </row>
    <row r="343">
      <c r="A343" s="23" t="n">
        <v>330</v>
      </c>
      <c r="B343" s="1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7">
        <f>R343-Q343</f>
        <v/>
      </c>
      <c r="U343" s="7">
        <f>S343-Q343</f>
        <v/>
      </c>
      <c r="V343" s="1" t="n"/>
      <c r="W343" s="9">
        <f>S343-R343</f>
        <v/>
      </c>
      <c r="X343" s="9" t="n"/>
      <c r="AM343">
        <f>_xlfn.TEXTJOIN(" + ", TRUE, I343:M343)</f>
        <v/>
      </c>
    </row>
    <row r="344">
      <c r="A344" s="23" t="n">
        <v>331</v>
      </c>
      <c r="B344" s="1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7">
        <f>R344-Q344</f>
        <v/>
      </c>
      <c r="U344" s="7">
        <f>S344-Q344</f>
        <v/>
      </c>
      <c r="V344" s="1" t="n"/>
      <c r="W344" s="9">
        <f>S344-R344</f>
        <v/>
      </c>
      <c r="X344" s="9" t="n"/>
      <c r="AM344">
        <f>_xlfn.TEXTJOIN(" + ", TRUE, I344:M344)</f>
        <v/>
      </c>
    </row>
    <row r="345">
      <c r="A345" s="23" t="n">
        <v>332</v>
      </c>
      <c r="B345" s="1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7">
        <f>R345-Q345</f>
        <v/>
      </c>
      <c r="U345" s="7">
        <f>S345-Q345</f>
        <v/>
      </c>
      <c r="V345" s="1" t="n"/>
      <c r="W345" s="9">
        <f>S345-R345</f>
        <v/>
      </c>
      <c r="X345" s="9" t="n"/>
      <c r="AM345">
        <f>_xlfn.TEXTJOIN(" + ", TRUE, I345:M345)</f>
        <v/>
      </c>
    </row>
    <row r="346">
      <c r="A346" s="23" t="n">
        <v>333</v>
      </c>
      <c r="B346" s="1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7">
        <f>R346-Q346</f>
        <v/>
      </c>
      <c r="U346" s="7">
        <f>S346-Q346</f>
        <v/>
      </c>
      <c r="V346" s="1" t="n"/>
      <c r="W346" s="9">
        <f>S346-R346</f>
        <v/>
      </c>
      <c r="X346" s="9" t="n"/>
      <c r="AM346">
        <f>_xlfn.TEXTJOIN(" + ", TRUE, I346:M346)</f>
        <v/>
      </c>
    </row>
    <row r="347">
      <c r="A347" s="23" t="n">
        <v>334</v>
      </c>
      <c r="B347" s="1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7">
        <f>R347-Q347</f>
        <v/>
      </c>
      <c r="U347" s="7">
        <f>S347-Q347</f>
        <v/>
      </c>
      <c r="V347" s="1" t="n"/>
      <c r="W347" s="9">
        <f>S347-R347</f>
        <v/>
      </c>
      <c r="X347" s="9" t="n"/>
      <c r="AM347">
        <f>_xlfn.TEXTJOIN(" + ", TRUE, I347:M347)</f>
        <v/>
      </c>
    </row>
    <row r="348">
      <c r="A348" s="23" t="n">
        <v>335</v>
      </c>
      <c r="B348" s="1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7">
        <f>R348-Q348</f>
        <v/>
      </c>
      <c r="U348" s="7">
        <f>S348-Q348</f>
        <v/>
      </c>
      <c r="V348" s="1" t="n"/>
      <c r="W348" s="9">
        <f>S348-R348</f>
        <v/>
      </c>
      <c r="X348" s="9" t="n"/>
      <c r="AM348">
        <f>_xlfn.TEXTJOIN(" + ", TRUE, I348:M348)</f>
        <v/>
      </c>
    </row>
    <row r="349">
      <c r="A349" s="23" t="n">
        <v>336</v>
      </c>
      <c r="B349" s="1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7">
        <f>R349-Q349</f>
        <v/>
      </c>
      <c r="U349" s="7">
        <f>S349-Q349</f>
        <v/>
      </c>
      <c r="V349" s="1" t="n"/>
      <c r="W349" s="9">
        <f>S349-R349</f>
        <v/>
      </c>
      <c r="X349" s="9" t="n"/>
      <c r="AM349">
        <f>_xlfn.TEXTJOIN(" + ", TRUE, I349:M349)</f>
        <v/>
      </c>
    </row>
    <row r="350">
      <c r="A350" s="23" t="n">
        <v>337</v>
      </c>
      <c r="B350" s="1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7">
        <f>R350-Q350</f>
        <v/>
      </c>
      <c r="U350" s="7">
        <f>S350-Q350</f>
        <v/>
      </c>
      <c r="V350" s="1" t="n"/>
      <c r="W350" s="9">
        <f>S350-R350</f>
        <v/>
      </c>
      <c r="X350" s="9" t="n"/>
      <c r="AM350">
        <f>_xlfn.TEXTJOIN(" + ", TRUE, I350:M350)</f>
        <v/>
      </c>
    </row>
    <row r="351">
      <c r="A351" s="23" t="n">
        <v>338</v>
      </c>
      <c r="B351" s="1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7">
        <f>R351-Q351</f>
        <v/>
      </c>
      <c r="U351" s="7">
        <f>S351-Q351</f>
        <v/>
      </c>
      <c r="V351" s="1" t="n"/>
      <c r="W351" s="9">
        <f>S351-R351</f>
        <v/>
      </c>
      <c r="X351" s="9" t="n"/>
      <c r="AM351">
        <f>_xlfn.TEXTJOIN(" + ", TRUE, I351:M351)</f>
        <v/>
      </c>
    </row>
    <row r="352">
      <c r="A352" s="23" t="n">
        <v>339</v>
      </c>
      <c r="B352" s="1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7">
        <f>R352-Q352</f>
        <v/>
      </c>
      <c r="U352" s="7">
        <f>S352-Q352</f>
        <v/>
      </c>
      <c r="V352" s="1" t="n"/>
      <c r="W352" s="9">
        <f>S352-R352</f>
        <v/>
      </c>
      <c r="X352" s="9" t="n"/>
      <c r="AM352">
        <f>_xlfn.TEXTJOIN(" + ", TRUE, I352:M352)</f>
        <v/>
      </c>
    </row>
    <row r="353">
      <c r="A353" s="23" t="n">
        <v>340</v>
      </c>
      <c r="B353" s="1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7">
        <f>R353-Q353</f>
        <v/>
      </c>
      <c r="U353" s="7">
        <f>S353-Q353</f>
        <v/>
      </c>
      <c r="V353" s="1" t="n"/>
      <c r="W353" s="9">
        <f>S353-R353</f>
        <v/>
      </c>
      <c r="X353" s="9" t="n"/>
      <c r="AM353">
        <f>_xlfn.TEXTJOIN(" + ", TRUE, I353:M353)</f>
        <v/>
      </c>
    </row>
    <row r="354">
      <c r="A354" s="23" t="n">
        <v>341</v>
      </c>
      <c r="B354" s="1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7">
        <f>R354-Q354</f>
        <v/>
      </c>
      <c r="U354" s="7">
        <f>S354-Q354</f>
        <v/>
      </c>
      <c r="V354" s="1" t="n"/>
      <c r="W354" s="9">
        <f>S354-R354</f>
        <v/>
      </c>
      <c r="X354" s="9" t="n"/>
      <c r="AM354">
        <f>_xlfn.TEXTJOIN(" + ", TRUE, I354:M354)</f>
        <v/>
      </c>
    </row>
    <row r="355">
      <c r="A355" s="23" t="n">
        <v>342</v>
      </c>
      <c r="B355" s="1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7">
        <f>R355-Q355</f>
        <v/>
      </c>
      <c r="U355" s="7">
        <f>S355-Q355</f>
        <v/>
      </c>
      <c r="V355" s="1" t="n"/>
      <c r="W355" s="9">
        <f>S355-R355</f>
        <v/>
      </c>
      <c r="X355" s="9" t="n"/>
      <c r="AM355">
        <f>_xlfn.TEXTJOIN(" + ", TRUE, I355:M355)</f>
        <v/>
      </c>
    </row>
    <row r="356">
      <c r="A356" s="23" t="n">
        <v>343</v>
      </c>
      <c r="B356" s="1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7">
        <f>R356-Q356</f>
        <v/>
      </c>
      <c r="U356" s="7">
        <f>S356-Q356</f>
        <v/>
      </c>
      <c r="V356" s="1" t="n"/>
      <c r="W356" s="9">
        <f>S356-R356</f>
        <v/>
      </c>
      <c r="X356" s="9" t="n"/>
      <c r="AM356">
        <f>_xlfn.TEXTJOIN(" + ", TRUE, I356:M356)</f>
        <v/>
      </c>
    </row>
    <row r="357">
      <c r="A357" s="23" t="n">
        <v>344</v>
      </c>
      <c r="B357" s="1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7">
        <f>R357-Q357</f>
        <v/>
      </c>
      <c r="U357" s="7">
        <f>S357-Q357</f>
        <v/>
      </c>
      <c r="V357" s="1" t="n"/>
      <c r="W357" s="9">
        <f>S357-R357</f>
        <v/>
      </c>
      <c r="X357" s="9" t="n"/>
      <c r="AM357">
        <f>_xlfn.TEXTJOIN(" + ", TRUE, I357:M357)</f>
        <v/>
      </c>
    </row>
    <row r="358">
      <c r="A358" s="23" t="n">
        <v>345</v>
      </c>
      <c r="B358" s="1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7">
        <f>R358-Q358</f>
        <v/>
      </c>
      <c r="U358" s="7">
        <f>S358-Q358</f>
        <v/>
      </c>
      <c r="V358" s="1" t="n"/>
      <c r="W358" s="9">
        <f>S358-R358</f>
        <v/>
      </c>
      <c r="X358" s="9" t="n"/>
      <c r="AM358">
        <f>_xlfn.TEXTJOIN(" + ", TRUE, I358:M358)</f>
        <v/>
      </c>
    </row>
    <row r="359">
      <c r="A359" s="23" t="n">
        <v>346</v>
      </c>
      <c r="B359" s="1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7">
        <f>R359-Q359</f>
        <v/>
      </c>
      <c r="U359" s="7">
        <f>S359-Q359</f>
        <v/>
      </c>
      <c r="V359" s="1" t="n"/>
      <c r="W359" s="9">
        <f>S359-R359</f>
        <v/>
      </c>
      <c r="X359" s="9" t="n"/>
      <c r="AM359">
        <f>_xlfn.TEXTJOIN(" + ", TRUE, I359:M359)</f>
        <v/>
      </c>
    </row>
    <row r="360">
      <c r="A360" s="23" t="n">
        <v>347</v>
      </c>
      <c r="B360" s="1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7">
        <f>R360-Q360</f>
        <v/>
      </c>
      <c r="U360" s="7">
        <f>S360-Q360</f>
        <v/>
      </c>
      <c r="V360" s="1" t="n"/>
      <c r="W360" s="9">
        <f>S360-R360</f>
        <v/>
      </c>
      <c r="X360" s="9" t="n"/>
      <c r="AM360">
        <f>_xlfn.TEXTJOIN(" + ", TRUE, I360:M360)</f>
        <v/>
      </c>
    </row>
    <row r="361">
      <c r="A361" s="23" t="n">
        <v>348</v>
      </c>
      <c r="B361" s="1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7">
        <f>R361-Q361</f>
        <v/>
      </c>
      <c r="U361" s="7">
        <f>S361-Q361</f>
        <v/>
      </c>
      <c r="V361" s="1" t="n"/>
      <c r="W361" s="9">
        <f>S361-R361</f>
        <v/>
      </c>
      <c r="X361" s="9" t="n"/>
      <c r="AM361">
        <f>_xlfn.TEXTJOIN(" + ", TRUE, I361:M361)</f>
        <v/>
      </c>
    </row>
    <row r="362">
      <c r="A362" s="23" t="n">
        <v>349</v>
      </c>
      <c r="B362" s="1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7">
        <f>R362-Q362</f>
        <v/>
      </c>
      <c r="U362" s="7">
        <f>S362-Q362</f>
        <v/>
      </c>
      <c r="V362" s="1" t="n"/>
      <c r="W362" s="9">
        <f>S362-R362</f>
        <v/>
      </c>
      <c r="X362" s="9" t="n"/>
      <c r="AM362">
        <f>_xlfn.TEXTJOIN(" + ", TRUE, I362:M362)</f>
        <v/>
      </c>
    </row>
    <row r="363">
      <c r="A363" s="23" t="n">
        <v>350</v>
      </c>
      <c r="B363" s="1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7">
        <f>R363-Q363</f>
        <v/>
      </c>
      <c r="U363" s="7">
        <f>S363-Q363</f>
        <v/>
      </c>
      <c r="V363" s="1" t="n"/>
      <c r="W363" s="9">
        <f>S363-R363</f>
        <v/>
      </c>
      <c r="X363" s="9" t="n"/>
      <c r="AM363">
        <f>_xlfn.TEXTJOIN(" + ", TRUE, I363:M363)</f>
        <v/>
      </c>
    </row>
    <row r="364">
      <c r="A364" s="23" t="n">
        <v>351</v>
      </c>
      <c r="B364" s="1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7">
        <f>R364-Q364</f>
        <v/>
      </c>
      <c r="U364" s="7">
        <f>S364-Q364</f>
        <v/>
      </c>
      <c r="V364" s="1" t="n"/>
      <c r="W364" s="9">
        <f>S364-R364</f>
        <v/>
      </c>
      <c r="X364" s="9" t="n"/>
      <c r="AM364">
        <f>_xlfn.TEXTJOIN(" + ", TRUE, I364:M364)</f>
        <v/>
      </c>
    </row>
    <row r="365">
      <c r="A365" s="23" t="n">
        <v>352</v>
      </c>
      <c r="B365" s="1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7">
        <f>R365-Q365</f>
        <v/>
      </c>
      <c r="U365" s="7">
        <f>S365-Q365</f>
        <v/>
      </c>
      <c r="V365" s="1" t="n"/>
      <c r="W365" s="9">
        <f>S365-R365</f>
        <v/>
      </c>
      <c r="X365" s="9" t="n"/>
      <c r="AM365">
        <f>_xlfn.TEXTJOIN(" + ", TRUE, I365:M365)</f>
        <v/>
      </c>
    </row>
    <row r="366">
      <c r="A366" s="23" t="n">
        <v>353</v>
      </c>
      <c r="B366" s="1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7">
        <f>R366-Q366</f>
        <v/>
      </c>
      <c r="U366" s="7">
        <f>S366-Q366</f>
        <v/>
      </c>
      <c r="V366" s="1" t="n"/>
      <c r="W366" s="9">
        <f>S366-R366</f>
        <v/>
      </c>
      <c r="X366" s="9" t="n"/>
      <c r="AM366">
        <f>_xlfn.TEXTJOIN(" + ", TRUE, I366:M366)</f>
        <v/>
      </c>
    </row>
    <row r="367">
      <c r="A367" s="23" t="n">
        <v>354</v>
      </c>
      <c r="B367" s="1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7">
        <f>R367-Q367</f>
        <v/>
      </c>
      <c r="U367" s="7">
        <f>S367-Q367</f>
        <v/>
      </c>
      <c r="V367" s="1" t="n"/>
      <c r="W367" s="9">
        <f>S367-R367</f>
        <v/>
      </c>
      <c r="X367" s="9" t="n"/>
      <c r="AM367">
        <f>_xlfn.TEXTJOIN(" + ", TRUE, I367:M367)</f>
        <v/>
      </c>
    </row>
    <row r="368">
      <c r="A368" s="23" t="n">
        <v>355</v>
      </c>
      <c r="B368" s="1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7">
        <f>R368-Q368</f>
        <v/>
      </c>
      <c r="U368" s="7">
        <f>S368-Q368</f>
        <v/>
      </c>
      <c r="V368" s="1" t="n"/>
      <c r="W368" s="9">
        <f>S368-R368</f>
        <v/>
      </c>
      <c r="X368" s="9" t="n"/>
      <c r="AM368">
        <f>_xlfn.TEXTJOIN(" + ", TRUE, I368:M368)</f>
        <v/>
      </c>
    </row>
    <row r="369">
      <c r="A369" s="23" t="n">
        <v>356</v>
      </c>
      <c r="B369" s="1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7">
        <f>R369-Q369</f>
        <v/>
      </c>
      <c r="U369" s="7">
        <f>S369-Q369</f>
        <v/>
      </c>
      <c r="V369" s="1" t="n"/>
      <c r="W369" s="9">
        <f>S369-R369</f>
        <v/>
      </c>
      <c r="X369" s="9" t="n"/>
      <c r="AM369">
        <f>_xlfn.TEXTJOIN(" + ", TRUE, I369:M369)</f>
        <v/>
      </c>
    </row>
    <row r="370">
      <c r="A370" s="23" t="n">
        <v>357</v>
      </c>
      <c r="B370" s="1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7">
        <f>R370-Q370</f>
        <v/>
      </c>
      <c r="U370" s="7">
        <f>S370-Q370</f>
        <v/>
      </c>
      <c r="V370" s="1" t="n"/>
      <c r="W370" s="9">
        <f>S370-R370</f>
        <v/>
      </c>
      <c r="X370" s="9" t="n"/>
      <c r="AM370">
        <f>_xlfn.TEXTJOIN(" + ", TRUE, I370:M370)</f>
        <v/>
      </c>
    </row>
    <row r="371">
      <c r="A371" s="23" t="n">
        <v>358</v>
      </c>
      <c r="B371" s="1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7">
        <f>R371-Q371</f>
        <v/>
      </c>
      <c r="U371" s="7">
        <f>S371-Q371</f>
        <v/>
      </c>
      <c r="V371" s="1" t="n"/>
      <c r="W371" s="9">
        <f>S371-R371</f>
        <v/>
      </c>
      <c r="X371" s="9" t="n"/>
      <c r="AM371">
        <f>_xlfn.TEXTJOIN(" + ", TRUE, I371:M371)</f>
        <v/>
      </c>
    </row>
    <row r="372">
      <c r="A372" s="23" t="n">
        <v>359</v>
      </c>
      <c r="B372" s="1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7">
        <f>R372-Q372</f>
        <v/>
      </c>
      <c r="U372" s="7">
        <f>S372-Q372</f>
        <v/>
      </c>
      <c r="V372" s="1" t="n"/>
      <c r="W372" s="9">
        <f>S372-R372</f>
        <v/>
      </c>
      <c r="X372" s="9" t="n"/>
      <c r="AM372">
        <f>_xlfn.TEXTJOIN(" + ", TRUE, I372:M372)</f>
        <v/>
      </c>
    </row>
    <row r="373">
      <c r="A373" s="23" t="n">
        <v>360</v>
      </c>
      <c r="B373" s="1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7">
        <f>R373-Q373</f>
        <v/>
      </c>
      <c r="U373" s="7">
        <f>S373-Q373</f>
        <v/>
      </c>
      <c r="V373" s="1" t="n"/>
      <c r="W373" s="9">
        <f>S373-R373</f>
        <v/>
      </c>
      <c r="X373" s="9" t="n"/>
      <c r="AM373">
        <f>_xlfn.TEXTJOIN(" + ", TRUE, I373:M373)</f>
        <v/>
      </c>
    </row>
    <row r="374">
      <c r="A374" s="23" t="n">
        <v>361</v>
      </c>
      <c r="B374" s="1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7">
        <f>R374-Q374</f>
        <v/>
      </c>
      <c r="U374" s="7">
        <f>S374-Q374</f>
        <v/>
      </c>
      <c r="V374" s="1" t="n"/>
      <c r="W374" s="9">
        <f>S374-R374</f>
        <v/>
      </c>
      <c r="X374" s="9" t="n"/>
      <c r="AM374">
        <f>_xlfn.TEXTJOIN(" + ", TRUE, I374:M374)</f>
        <v/>
      </c>
    </row>
    <row r="375">
      <c r="A375" s="23" t="n">
        <v>362</v>
      </c>
      <c r="B375" s="1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7">
        <f>R375-Q375</f>
        <v/>
      </c>
      <c r="U375" s="7">
        <f>S375-Q375</f>
        <v/>
      </c>
      <c r="V375" s="1" t="n"/>
      <c r="W375" s="9">
        <f>S375-R375</f>
        <v/>
      </c>
      <c r="X375" s="9" t="n"/>
      <c r="AM375">
        <f>_xlfn.TEXTJOIN(" + ", TRUE, I375:M375)</f>
        <v/>
      </c>
    </row>
    <row r="376">
      <c r="A376" s="23" t="n">
        <v>363</v>
      </c>
      <c r="B376" s="1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7">
        <f>R376-Q376</f>
        <v/>
      </c>
      <c r="U376" s="7">
        <f>S376-Q376</f>
        <v/>
      </c>
      <c r="V376" s="1" t="n"/>
      <c r="W376" s="9">
        <f>S376-R376</f>
        <v/>
      </c>
      <c r="X376" s="9" t="n"/>
      <c r="AM376">
        <f>_xlfn.TEXTJOIN(" + ", TRUE, I376:M376)</f>
        <v/>
      </c>
    </row>
    <row r="377">
      <c r="A377" s="23" t="n">
        <v>364</v>
      </c>
      <c r="B377" s="1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7">
        <f>R377-Q377</f>
        <v/>
      </c>
      <c r="U377" s="7">
        <f>S377-Q377</f>
        <v/>
      </c>
      <c r="V377" s="1" t="n"/>
      <c r="W377" s="9">
        <f>S377-R377</f>
        <v/>
      </c>
      <c r="X377" s="9" t="n"/>
      <c r="AM377">
        <f>_xlfn.TEXTJOIN(" + ", TRUE, I377:M377)</f>
        <v/>
      </c>
    </row>
    <row r="378">
      <c r="A378" s="23" t="n">
        <v>365</v>
      </c>
      <c r="B378" s="1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7">
        <f>R378-Q378</f>
        <v/>
      </c>
      <c r="U378" s="7">
        <f>S378-Q378</f>
        <v/>
      </c>
      <c r="V378" s="1" t="n"/>
      <c r="W378" s="9">
        <f>S378-R378</f>
        <v/>
      </c>
      <c r="X378" s="9" t="n"/>
      <c r="AM378">
        <f>_xlfn.TEXTJOIN(" + ", TRUE, I378:M378)</f>
        <v/>
      </c>
    </row>
    <row r="379">
      <c r="A379" s="23" t="n">
        <v>366</v>
      </c>
      <c r="B379" s="1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7">
        <f>R379-Q379</f>
        <v/>
      </c>
      <c r="U379" s="7">
        <f>S379-Q379</f>
        <v/>
      </c>
      <c r="V379" s="1" t="n"/>
      <c r="W379" s="9">
        <f>S379-R379</f>
        <v/>
      </c>
      <c r="X379" s="9" t="n"/>
      <c r="AM379">
        <f>_xlfn.TEXTJOIN(" + ", TRUE, I379:M379)</f>
        <v/>
      </c>
    </row>
    <row r="380">
      <c r="A380" s="23" t="n">
        <v>367</v>
      </c>
      <c r="B380" s="1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7">
        <f>R380-Q380</f>
        <v/>
      </c>
      <c r="U380" s="7">
        <f>S380-Q380</f>
        <v/>
      </c>
      <c r="V380" s="1" t="n"/>
      <c r="W380" s="9">
        <f>S380-R380</f>
        <v/>
      </c>
      <c r="X380" s="9" t="n"/>
      <c r="AM380">
        <f>_xlfn.TEXTJOIN(" + ", TRUE, I380:M380)</f>
        <v/>
      </c>
    </row>
    <row r="381">
      <c r="A381" s="23" t="n">
        <v>368</v>
      </c>
      <c r="B381" s="1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7">
        <f>R381-Q381</f>
        <v/>
      </c>
      <c r="U381" s="7">
        <f>S381-Q381</f>
        <v/>
      </c>
      <c r="V381" s="1" t="n"/>
      <c r="W381" s="9">
        <f>S381-R381</f>
        <v/>
      </c>
      <c r="X381" s="9" t="n"/>
      <c r="AM381">
        <f>_xlfn.TEXTJOIN(" + ", TRUE, I381:M381)</f>
        <v/>
      </c>
    </row>
    <row r="382">
      <c r="A382" s="23" t="n">
        <v>369</v>
      </c>
      <c r="B382" s="1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7">
        <f>R382-Q382</f>
        <v/>
      </c>
      <c r="U382" s="7">
        <f>S382-Q382</f>
        <v/>
      </c>
      <c r="V382" s="1" t="n"/>
      <c r="W382" s="9">
        <f>S382-R382</f>
        <v/>
      </c>
      <c r="X382" s="9" t="n"/>
      <c r="AM382">
        <f>_xlfn.TEXTJOIN(" + ", TRUE, I382:M382)</f>
        <v/>
      </c>
    </row>
    <row r="383">
      <c r="A383" s="23" t="n">
        <v>370</v>
      </c>
      <c r="B383" s="1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7">
        <f>R383-Q383</f>
        <v/>
      </c>
      <c r="U383" s="7">
        <f>S383-Q383</f>
        <v/>
      </c>
      <c r="V383" s="1" t="n"/>
      <c r="W383" s="9">
        <f>S383-R383</f>
        <v/>
      </c>
      <c r="X383" s="9" t="n"/>
      <c r="AM383">
        <f>_xlfn.TEXTJOIN(" + ", TRUE, I383:M383)</f>
        <v/>
      </c>
    </row>
    <row r="384">
      <c r="A384" s="23" t="n">
        <v>371</v>
      </c>
      <c r="B384" s="1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7">
        <f>R384-Q384</f>
        <v/>
      </c>
      <c r="U384" s="7">
        <f>S384-Q384</f>
        <v/>
      </c>
      <c r="V384" s="1" t="n"/>
      <c r="W384" s="9">
        <f>S384-R384</f>
        <v/>
      </c>
      <c r="X384" s="9" t="n"/>
      <c r="AM384">
        <f>_xlfn.TEXTJOIN(" + ", TRUE, I384:M384)</f>
        <v/>
      </c>
    </row>
    <row r="385">
      <c r="A385" s="23" t="n">
        <v>372</v>
      </c>
      <c r="B385" s="1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7">
        <f>R385-Q385</f>
        <v/>
      </c>
      <c r="U385" s="7">
        <f>S385-Q385</f>
        <v/>
      </c>
      <c r="V385" s="1" t="n"/>
      <c r="W385" s="9">
        <f>S385-R385</f>
        <v/>
      </c>
      <c r="X385" s="9" t="n"/>
      <c r="AM385">
        <f>_xlfn.TEXTJOIN(" + ", TRUE, I385:M385)</f>
        <v/>
      </c>
    </row>
    <row r="386">
      <c r="A386" s="23" t="n">
        <v>373</v>
      </c>
      <c r="B386" s="1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7">
        <f>R386-Q386</f>
        <v/>
      </c>
      <c r="U386" s="7">
        <f>S386-Q386</f>
        <v/>
      </c>
      <c r="V386" s="1" t="n"/>
      <c r="W386" s="9">
        <f>S386-R386</f>
        <v/>
      </c>
      <c r="X386" s="9" t="n"/>
      <c r="AM386">
        <f>_xlfn.TEXTJOIN(" + ", TRUE, I386:M386)</f>
        <v/>
      </c>
    </row>
    <row r="387">
      <c r="A387" s="23" t="n">
        <v>374</v>
      </c>
      <c r="B387" s="1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7">
        <f>R387-Q387</f>
        <v/>
      </c>
      <c r="U387" s="7">
        <f>S387-Q387</f>
        <v/>
      </c>
      <c r="V387" s="1" t="n"/>
      <c r="W387" s="9">
        <f>S387-R387</f>
        <v/>
      </c>
      <c r="X387" s="9" t="n"/>
      <c r="AM387">
        <f>_xlfn.TEXTJOIN(" + ", TRUE, I387:M387)</f>
        <v/>
      </c>
    </row>
    <row r="388">
      <c r="A388" s="23" t="n">
        <v>375</v>
      </c>
      <c r="B388" s="1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7">
        <f>R388-Q388</f>
        <v/>
      </c>
      <c r="U388" s="7">
        <f>S388-Q388</f>
        <v/>
      </c>
      <c r="V388" s="1" t="n"/>
      <c r="W388" s="9">
        <f>S388-R388</f>
        <v/>
      </c>
      <c r="X388" s="9" t="n"/>
      <c r="AM388">
        <f>_xlfn.TEXTJOIN(" + ", TRUE, I388:M388)</f>
        <v/>
      </c>
    </row>
    <row r="389">
      <c r="A389" s="23" t="n">
        <v>376</v>
      </c>
      <c r="B389" s="1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7">
        <f>R389-Q389</f>
        <v/>
      </c>
      <c r="U389" s="7">
        <f>S389-Q389</f>
        <v/>
      </c>
      <c r="V389" s="1" t="n"/>
      <c r="W389" s="9">
        <f>S389-R389</f>
        <v/>
      </c>
      <c r="X389" s="9" t="n"/>
      <c r="AM389">
        <f>_xlfn.TEXTJOIN(" + ", TRUE, I389:M389)</f>
        <v/>
      </c>
    </row>
    <row r="390">
      <c r="A390" s="23" t="n">
        <v>377</v>
      </c>
      <c r="B390" s="1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7">
        <f>R390-Q390</f>
        <v/>
      </c>
      <c r="U390" s="7">
        <f>S390-Q390</f>
        <v/>
      </c>
      <c r="V390" s="1" t="n"/>
      <c r="W390" s="9">
        <f>S390-R390</f>
        <v/>
      </c>
      <c r="X390" s="9" t="n"/>
      <c r="AM390">
        <f>_xlfn.TEXTJOIN(" + ", TRUE, I390:M390)</f>
        <v/>
      </c>
    </row>
    <row r="391">
      <c r="A391" s="23" t="n">
        <v>378</v>
      </c>
      <c r="B391" s="1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7">
        <f>R391-Q391</f>
        <v/>
      </c>
      <c r="U391" s="7">
        <f>S391-Q391</f>
        <v/>
      </c>
      <c r="V391" s="1" t="n"/>
      <c r="W391" s="9">
        <f>S391-R391</f>
        <v/>
      </c>
      <c r="X391" s="9" t="n"/>
      <c r="AM391">
        <f>_xlfn.TEXTJOIN(" + ", TRUE, I391:M391)</f>
        <v/>
      </c>
    </row>
    <row r="392">
      <c r="A392" s="23" t="n">
        <v>379</v>
      </c>
      <c r="B392" s="1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7">
        <f>R392-Q392</f>
        <v/>
      </c>
      <c r="U392" s="7">
        <f>S392-Q392</f>
        <v/>
      </c>
      <c r="V392" s="1" t="n"/>
      <c r="W392" s="9">
        <f>S392-R392</f>
        <v/>
      </c>
      <c r="X392" s="9" t="n"/>
      <c r="AM392">
        <f>_xlfn.TEXTJOIN(" + ", TRUE, I392:M392)</f>
        <v/>
      </c>
    </row>
    <row r="393">
      <c r="A393" s="23" t="n">
        <v>380</v>
      </c>
      <c r="B393" s="1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7">
        <f>R393-Q393</f>
        <v/>
      </c>
      <c r="U393" s="7">
        <f>S393-Q393</f>
        <v/>
      </c>
      <c r="V393" s="1" t="n"/>
      <c r="W393" s="9">
        <f>S393-R393</f>
        <v/>
      </c>
      <c r="X393" s="9" t="n"/>
      <c r="AM393">
        <f>_xlfn.TEXTJOIN(" + ", TRUE, I393:M393)</f>
        <v/>
      </c>
    </row>
    <row r="394">
      <c r="A394" s="23" t="n">
        <v>381</v>
      </c>
      <c r="B394" s="1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7">
        <f>R394-Q394</f>
        <v/>
      </c>
      <c r="U394" s="7">
        <f>S394-Q394</f>
        <v/>
      </c>
      <c r="V394" s="1" t="n"/>
      <c r="W394" s="9">
        <f>S394-R394</f>
        <v/>
      </c>
      <c r="X394" s="9" t="n"/>
      <c r="AM394">
        <f>_xlfn.TEXTJOIN(" + ", TRUE, I394:M394)</f>
        <v/>
      </c>
    </row>
    <row r="395">
      <c r="A395" s="23" t="n">
        <v>382</v>
      </c>
      <c r="B395" s="1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7">
        <f>R395-Q395</f>
        <v/>
      </c>
      <c r="U395" s="7">
        <f>S395-Q395</f>
        <v/>
      </c>
      <c r="V395" s="1" t="n"/>
      <c r="W395" s="9">
        <f>S395-R395</f>
        <v/>
      </c>
      <c r="X395" s="9" t="n"/>
      <c r="AM395">
        <f>_xlfn.TEXTJOIN(" + ", TRUE, I395:M395)</f>
        <v/>
      </c>
    </row>
    <row r="396">
      <c r="A396" s="23" t="n">
        <v>383</v>
      </c>
      <c r="B396" s="1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7">
        <f>R396-Q396</f>
        <v/>
      </c>
      <c r="U396" s="7">
        <f>S396-Q396</f>
        <v/>
      </c>
      <c r="V396" s="1" t="n"/>
      <c r="W396" s="9">
        <f>S396-R396</f>
        <v/>
      </c>
      <c r="X396" s="9" t="n"/>
      <c r="AM396">
        <f>_xlfn.TEXTJOIN(" + ", TRUE, I396:M396)</f>
        <v/>
      </c>
    </row>
    <row r="397">
      <c r="A397" s="23" t="n">
        <v>384</v>
      </c>
      <c r="B397" s="1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7">
        <f>R397-Q397</f>
        <v/>
      </c>
      <c r="U397" s="7">
        <f>S397-Q397</f>
        <v/>
      </c>
      <c r="V397" s="1" t="n"/>
      <c r="W397" s="9">
        <f>S397-R397</f>
        <v/>
      </c>
      <c r="X397" s="9" t="n"/>
      <c r="AM397">
        <f>_xlfn.TEXTJOIN(" + ", TRUE, I397:M397)</f>
        <v/>
      </c>
    </row>
    <row r="398">
      <c r="A398" s="23" t="n">
        <v>385</v>
      </c>
      <c r="B398" s="1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7">
        <f>R398-Q398</f>
        <v/>
      </c>
      <c r="U398" s="7">
        <f>S398-Q398</f>
        <v/>
      </c>
      <c r="V398" s="1" t="n"/>
      <c r="W398" s="9">
        <f>S398-R398</f>
        <v/>
      </c>
      <c r="X398" s="9" t="n"/>
      <c r="AM398">
        <f>_xlfn.TEXTJOIN(" + ", TRUE, I398:M398)</f>
        <v/>
      </c>
    </row>
    <row r="399">
      <c r="A399" s="23" t="n">
        <v>386</v>
      </c>
      <c r="B399" s="1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7">
        <f>R399-Q399</f>
        <v/>
      </c>
      <c r="U399" s="7">
        <f>S399-Q399</f>
        <v/>
      </c>
      <c r="V399" s="1" t="n"/>
      <c r="W399" s="9">
        <f>S399-R399</f>
        <v/>
      </c>
      <c r="X399" s="9" t="n"/>
      <c r="AM399">
        <f>_xlfn.TEXTJOIN(" + ", TRUE, I399:M399)</f>
        <v/>
      </c>
    </row>
    <row r="400">
      <c r="A400" s="23" t="n">
        <v>387</v>
      </c>
      <c r="B400" s="1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7">
        <f>R400-Q400</f>
        <v/>
      </c>
      <c r="U400" s="7">
        <f>S400-Q400</f>
        <v/>
      </c>
      <c r="V400" s="1" t="n"/>
      <c r="W400" s="9">
        <f>S400-R400</f>
        <v/>
      </c>
      <c r="X400" s="9" t="n"/>
      <c r="AM400">
        <f>_xlfn.TEXTJOIN(" + ", TRUE, I400:M400)</f>
        <v/>
      </c>
    </row>
    <row r="401">
      <c r="A401" s="23" t="n">
        <v>388</v>
      </c>
      <c r="B401" s="1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7">
        <f>R401-Q401</f>
        <v/>
      </c>
      <c r="U401" s="7">
        <f>S401-Q401</f>
        <v/>
      </c>
      <c r="V401" s="1" t="n"/>
      <c r="W401" s="9">
        <f>S401-R401</f>
        <v/>
      </c>
      <c r="X401" s="9" t="n"/>
      <c r="AM401">
        <f>_xlfn.TEXTJOIN(" + ", TRUE, I401:M401)</f>
        <v/>
      </c>
    </row>
    <row r="402">
      <c r="A402" s="23" t="n">
        <v>389</v>
      </c>
      <c r="B402" s="1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7">
        <f>R402-Q402</f>
        <v/>
      </c>
      <c r="U402" s="7">
        <f>S402-Q402</f>
        <v/>
      </c>
      <c r="V402" s="1" t="n"/>
      <c r="W402" s="9">
        <f>S402-R402</f>
        <v/>
      </c>
      <c r="X402" s="9" t="n"/>
      <c r="AM402">
        <f>_xlfn.TEXTJOIN(" + ", TRUE, I402:M402)</f>
        <v/>
      </c>
    </row>
    <row r="403">
      <c r="A403" s="23" t="n">
        <v>390</v>
      </c>
      <c r="B403" s="1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7">
        <f>R403-Q403</f>
        <v/>
      </c>
      <c r="U403" s="7">
        <f>S403-Q403</f>
        <v/>
      </c>
      <c r="V403" s="1" t="n"/>
      <c r="W403" s="9">
        <f>S403-R403</f>
        <v/>
      </c>
      <c r="X403" s="9" t="n"/>
      <c r="AM403">
        <f>_xlfn.TEXTJOIN(" + ", TRUE, I403:M403)</f>
        <v/>
      </c>
    </row>
    <row r="404">
      <c r="A404" s="23" t="n">
        <v>391</v>
      </c>
      <c r="B404" s="1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7">
        <f>R404-Q404</f>
        <v/>
      </c>
      <c r="U404" s="7">
        <f>S404-Q404</f>
        <v/>
      </c>
      <c r="V404" s="1" t="n"/>
      <c r="W404" s="9">
        <f>S404-R404</f>
        <v/>
      </c>
      <c r="X404" s="9" t="n"/>
      <c r="AM404">
        <f>_xlfn.TEXTJOIN(" + ", TRUE, I404:M404)</f>
        <v/>
      </c>
    </row>
    <row r="405">
      <c r="A405" s="23" t="n">
        <v>392</v>
      </c>
      <c r="B405" s="1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7">
        <f>R405-Q405</f>
        <v/>
      </c>
      <c r="U405" s="7">
        <f>S405-Q405</f>
        <v/>
      </c>
      <c r="V405" s="1" t="n"/>
      <c r="W405" s="9">
        <f>S405-R405</f>
        <v/>
      </c>
      <c r="X405" s="9" t="n"/>
      <c r="AM405">
        <f>_xlfn.TEXTJOIN(" + ", TRUE, I405:M405)</f>
        <v/>
      </c>
    </row>
    <row r="406">
      <c r="A406" s="23" t="n">
        <v>393</v>
      </c>
      <c r="B406" s="1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7">
        <f>R406-Q406</f>
        <v/>
      </c>
      <c r="U406" s="7">
        <f>S406-Q406</f>
        <v/>
      </c>
      <c r="V406" s="1" t="n"/>
      <c r="W406" s="9">
        <f>S406-R406</f>
        <v/>
      </c>
      <c r="X406" s="9" t="n"/>
      <c r="AM406">
        <f>_xlfn.TEXTJOIN(" + ", TRUE, I406:M406)</f>
        <v/>
      </c>
    </row>
    <row r="407">
      <c r="A407" s="23" t="n">
        <v>394</v>
      </c>
      <c r="B407" s="1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7">
        <f>R407-Q407</f>
        <v/>
      </c>
      <c r="U407" s="7">
        <f>S407-Q407</f>
        <v/>
      </c>
      <c r="V407" s="1" t="n"/>
      <c r="W407" s="9">
        <f>S407-R407</f>
        <v/>
      </c>
      <c r="X407" s="9" t="n"/>
      <c r="AM407">
        <f>_xlfn.TEXTJOIN(" + ", TRUE, I407:M407)</f>
        <v/>
      </c>
    </row>
    <row r="408">
      <c r="A408" s="23" t="n">
        <v>395</v>
      </c>
      <c r="B408" s="1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7">
        <f>R408-Q408</f>
        <v/>
      </c>
      <c r="U408" s="7">
        <f>S408-Q408</f>
        <v/>
      </c>
      <c r="V408" s="1" t="n"/>
      <c r="W408" s="9">
        <f>S408-R408</f>
        <v/>
      </c>
      <c r="X408" s="9" t="n"/>
      <c r="AM408">
        <f>_xlfn.TEXTJOIN(" + ", TRUE, I408:M408)</f>
        <v/>
      </c>
    </row>
    <row r="409">
      <c r="A409" s="23" t="n">
        <v>396</v>
      </c>
      <c r="B409" s="1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7">
        <f>R409-Q409</f>
        <v/>
      </c>
      <c r="U409" s="7">
        <f>S409-Q409</f>
        <v/>
      </c>
      <c r="V409" s="1" t="n"/>
      <c r="W409" s="9">
        <f>S409-R409</f>
        <v/>
      </c>
      <c r="X409" s="9" t="n"/>
      <c r="AM409">
        <f>_xlfn.TEXTJOIN(" + ", TRUE, I409:M409)</f>
        <v/>
      </c>
    </row>
    <row r="410">
      <c r="A410" s="23" t="n">
        <v>397</v>
      </c>
      <c r="B410" s="1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7">
        <f>R410-Q410</f>
        <v/>
      </c>
      <c r="U410" s="7">
        <f>S410-Q410</f>
        <v/>
      </c>
      <c r="V410" s="1" t="n"/>
      <c r="W410" s="9">
        <f>S410-R410</f>
        <v/>
      </c>
      <c r="X410" s="9" t="n"/>
      <c r="AM410">
        <f>_xlfn.TEXTJOIN(" + ", TRUE, I410:M410)</f>
        <v/>
      </c>
    </row>
    <row r="411">
      <c r="A411" s="23" t="n">
        <v>398</v>
      </c>
      <c r="B411" s="1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7">
        <f>R411-Q411</f>
        <v/>
      </c>
      <c r="U411" s="7">
        <f>S411-Q411</f>
        <v/>
      </c>
      <c r="V411" s="1" t="n"/>
      <c r="W411" s="9">
        <f>S411-R411</f>
        <v/>
      </c>
      <c r="X411" s="9" t="n"/>
      <c r="AM411">
        <f>_xlfn.TEXTJOIN(" + ", TRUE, I411:M411)</f>
        <v/>
      </c>
    </row>
    <row r="412">
      <c r="A412" s="23" t="n">
        <v>399</v>
      </c>
      <c r="B412" s="1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7">
        <f>R412-Q412</f>
        <v/>
      </c>
      <c r="U412" s="7">
        <f>S412-Q412</f>
        <v/>
      </c>
      <c r="V412" s="1" t="n"/>
      <c r="W412" s="9">
        <f>S412-R412</f>
        <v/>
      </c>
      <c r="X412" s="9" t="n"/>
      <c r="AM412">
        <f>_xlfn.TEXTJOIN(" + ", TRUE, I412:M412)</f>
        <v/>
      </c>
    </row>
    <row r="413">
      <c r="A413" s="23" t="n">
        <v>400</v>
      </c>
      <c r="B413" s="1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7">
        <f>R413-Q413</f>
        <v/>
      </c>
      <c r="U413" s="7">
        <f>S413-Q413</f>
        <v/>
      </c>
      <c r="V413" s="1" t="n"/>
      <c r="W413" s="9">
        <f>S413-R413</f>
        <v/>
      </c>
      <c r="X413" s="9" t="n"/>
      <c r="AM413">
        <f>_xlfn.TEXTJOIN(" + ", TRUE, I413:M413)</f>
        <v/>
      </c>
    </row>
    <row r="414">
      <c r="A414" s="23" t="n">
        <v>401</v>
      </c>
      <c r="B414" s="1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7">
        <f>R414-Q414</f>
        <v/>
      </c>
      <c r="U414" s="7">
        <f>S414-Q414</f>
        <v/>
      </c>
      <c r="V414" s="1" t="n"/>
      <c r="W414" s="9">
        <f>S414-R414</f>
        <v/>
      </c>
      <c r="X414" s="9" t="n"/>
      <c r="AM414">
        <f>_xlfn.TEXTJOIN(" + ", TRUE, I414:M414)</f>
        <v/>
      </c>
    </row>
    <row r="415">
      <c r="A415" s="23" t="n">
        <v>402</v>
      </c>
      <c r="B415" s="1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7">
        <f>R415-Q415</f>
        <v/>
      </c>
      <c r="U415" s="7">
        <f>S415-Q415</f>
        <v/>
      </c>
      <c r="V415" s="1" t="n"/>
      <c r="W415" s="9">
        <f>S415-R415</f>
        <v/>
      </c>
      <c r="X415" s="9" t="n"/>
      <c r="AM415">
        <f>_xlfn.TEXTJOIN(" + ", TRUE, I415:M415)</f>
        <v/>
      </c>
    </row>
    <row r="416">
      <c r="A416" s="23" t="n">
        <v>403</v>
      </c>
      <c r="B416" s="1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7">
        <f>R416-Q416</f>
        <v/>
      </c>
      <c r="U416" s="7">
        <f>S416-Q416</f>
        <v/>
      </c>
      <c r="V416" s="1" t="n"/>
      <c r="W416" s="9">
        <f>S416-R416</f>
        <v/>
      </c>
      <c r="X416" s="9" t="n"/>
      <c r="AM416">
        <f>_xlfn.TEXTJOIN(" + ", TRUE, I416:M416)</f>
        <v/>
      </c>
    </row>
    <row r="417">
      <c r="A417" s="23" t="n">
        <v>404</v>
      </c>
      <c r="B417" s="1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7">
        <f>R417-Q417</f>
        <v/>
      </c>
      <c r="U417" s="7">
        <f>S417-Q417</f>
        <v/>
      </c>
      <c r="V417" s="1" t="n"/>
      <c r="W417" s="9">
        <f>S417-R417</f>
        <v/>
      </c>
      <c r="X417" s="9" t="n"/>
      <c r="AM417">
        <f>_xlfn.TEXTJOIN(" + ", TRUE, I417:M417)</f>
        <v/>
      </c>
    </row>
    <row r="418">
      <c r="A418" s="23" t="n">
        <v>405</v>
      </c>
      <c r="B418" s="1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7">
        <f>R418-Q418</f>
        <v/>
      </c>
      <c r="U418" s="7">
        <f>S418-Q418</f>
        <v/>
      </c>
      <c r="V418" s="1" t="n"/>
      <c r="W418" s="9">
        <f>S418-R418</f>
        <v/>
      </c>
      <c r="X418" s="9" t="n"/>
      <c r="AM418">
        <f>_xlfn.TEXTJOIN(" + ", TRUE, I418:M418)</f>
        <v/>
      </c>
    </row>
    <row r="419">
      <c r="A419" s="23" t="n">
        <v>406</v>
      </c>
      <c r="B419" s="1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7">
        <f>R419-Q419</f>
        <v/>
      </c>
      <c r="U419" s="7">
        <f>S419-Q419</f>
        <v/>
      </c>
      <c r="V419" s="1" t="n"/>
      <c r="W419" s="9">
        <f>S419-R419</f>
        <v/>
      </c>
      <c r="X419" s="9" t="n"/>
      <c r="AM419">
        <f>_xlfn.TEXTJOIN(" + ", TRUE, I419:M419)</f>
        <v/>
      </c>
    </row>
    <row r="420">
      <c r="A420" s="23" t="n">
        <v>407</v>
      </c>
      <c r="B420" s="1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7">
        <f>R420-Q420</f>
        <v/>
      </c>
      <c r="U420" s="7">
        <f>S420-Q420</f>
        <v/>
      </c>
      <c r="V420" s="1" t="n"/>
      <c r="W420" s="9">
        <f>S420-R420</f>
        <v/>
      </c>
      <c r="X420" s="9" t="n"/>
      <c r="AM420">
        <f>_xlfn.TEXTJOIN(" + ", TRUE, I420:M420)</f>
        <v/>
      </c>
    </row>
    <row r="421">
      <c r="A421" s="23" t="n">
        <v>408</v>
      </c>
      <c r="B421" s="1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7">
        <f>R421-Q421</f>
        <v/>
      </c>
      <c r="U421" s="7">
        <f>S421-Q421</f>
        <v/>
      </c>
      <c r="V421" s="1" t="n"/>
      <c r="W421" s="9">
        <f>S421-R421</f>
        <v/>
      </c>
      <c r="X421" s="9" t="n"/>
      <c r="AM421">
        <f>_xlfn.TEXTJOIN(" + ", TRUE, I421:M421)</f>
        <v/>
      </c>
    </row>
    <row r="422">
      <c r="A422" s="23" t="n">
        <v>409</v>
      </c>
      <c r="B422" s="1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7">
        <f>R422-Q422</f>
        <v/>
      </c>
      <c r="U422" s="7">
        <f>S422-Q422</f>
        <v/>
      </c>
      <c r="V422" s="1" t="n"/>
      <c r="W422" s="9">
        <f>S422-R422</f>
        <v/>
      </c>
      <c r="X422" s="9" t="n"/>
      <c r="AM422">
        <f>_xlfn.TEXTJOIN(" + ", TRUE, I422:M422)</f>
        <v/>
      </c>
    </row>
    <row r="423">
      <c r="A423" s="23" t="n">
        <v>410</v>
      </c>
      <c r="B423" s="1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7">
        <f>R423-Q423</f>
        <v/>
      </c>
      <c r="U423" s="7">
        <f>S423-Q423</f>
        <v/>
      </c>
      <c r="V423" s="1" t="n"/>
      <c r="W423" s="9">
        <f>S423-R423</f>
        <v/>
      </c>
      <c r="X423" s="9" t="n"/>
      <c r="AM423">
        <f>_xlfn.TEXTJOIN(" + ", TRUE, I423:M423)</f>
        <v/>
      </c>
    </row>
    <row r="424">
      <c r="A424" s="23" t="n">
        <v>411</v>
      </c>
      <c r="B424" s="1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7">
        <f>R424-Q424</f>
        <v/>
      </c>
      <c r="U424" s="7">
        <f>S424-Q424</f>
        <v/>
      </c>
      <c r="V424" s="1" t="n"/>
      <c r="W424" s="9">
        <f>S424-R424</f>
        <v/>
      </c>
      <c r="X424" s="9" t="n"/>
      <c r="AM424">
        <f>_xlfn.TEXTJOIN(" + ", TRUE, I424:M424)</f>
        <v/>
      </c>
    </row>
    <row r="425">
      <c r="A425" s="23" t="n">
        <v>412</v>
      </c>
      <c r="B425" s="1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7">
        <f>R425-Q425</f>
        <v/>
      </c>
      <c r="U425" s="7">
        <f>S425-Q425</f>
        <v/>
      </c>
      <c r="V425" s="1" t="n"/>
      <c r="W425" s="9">
        <f>S425-R425</f>
        <v/>
      </c>
      <c r="X425" s="9" t="n"/>
      <c r="AM425">
        <f>_xlfn.TEXTJOIN(" + ", TRUE, I425:M425)</f>
        <v/>
      </c>
    </row>
    <row r="426">
      <c r="A426" s="23" t="n">
        <v>413</v>
      </c>
      <c r="B426" s="1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7">
        <f>R426-Q426</f>
        <v/>
      </c>
      <c r="U426" s="7">
        <f>S426-Q426</f>
        <v/>
      </c>
      <c r="V426" s="1" t="n"/>
      <c r="W426" s="9">
        <f>S426-R426</f>
        <v/>
      </c>
      <c r="X426" s="9" t="n"/>
      <c r="AM426">
        <f>_xlfn.TEXTJOIN(" + ", TRUE, I426:M426)</f>
        <v/>
      </c>
    </row>
    <row r="427">
      <c r="A427" s="23" t="n">
        <v>414</v>
      </c>
      <c r="B427" s="1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7">
        <f>R427-Q427</f>
        <v/>
      </c>
      <c r="U427" s="7">
        <f>S427-Q427</f>
        <v/>
      </c>
      <c r="V427" s="1" t="n"/>
      <c r="W427" s="9">
        <f>S427-R427</f>
        <v/>
      </c>
      <c r="X427" s="9" t="n"/>
      <c r="AM427">
        <f>_xlfn.TEXTJOIN(" + ", TRUE, I427:M427)</f>
        <v/>
      </c>
    </row>
    <row r="428">
      <c r="A428" s="23" t="n">
        <v>415</v>
      </c>
      <c r="B428" s="1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7">
        <f>R428-Q428</f>
        <v/>
      </c>
      <c r="U428" s="7">
        <f>S428-Q428</f>
        <v/>
      </c>
      <c r="V428" s="1" t="n"/>
      <c r="W428" s="9">
        <f>S428-R428</f>
        <v/>
      </c>
      <c r="X428" s="9" t="n"/>
      <c r="AM428">
        <f>_xlfn.TEXTJOIN(" + ", TRUE, I428:M428)</f>
        <v/>
      </c>
    </row>
    <row r="429">
      <c r="A429" s="23" t="n">
        <v>416</v>
      </c>
      <c r="B429" s="1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7">
        <f>R429-Q429</f>
        <v/>
      </c>
      <c r="U429" s="7">
        <f>S429-Q429</f>
        <v/>
      </c>
      <c r="V429" s="1" t="n"/>
      <c r="W429" s="9">
        <f>S429-R429</f>
        <v/>
      </c>
      <c r="X429" s="9" t="n"/>
      <c r="AM429">
        <f>_xlfn.TEXTJOIN(" + ", TRUE, I429:M429)</f>
        <v/>
      </c>
    </row>
    <row r="430">
      <c r="A430" s="23" t="n">
        <v>417</v>
      </c>
      <c r="B430" s="1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7">
        <f>R430-Q430</f>
        <v/>
      </c>
      <c r="U430" s="7">
        <f>S430-Q430</f>
        <v/>
      </c>
      <c r="V430" s="1" t="n"/>
      <c r="W430" s="9">
        <f>S430-R430</f>
        <v/>
      </c>
      <c r="X430" s="9" t="n"/>
      <c r="AM430">
        <f>_xlfn.TEXTJOIN(" + ", TRUE, I430:M430)</f>
        <v/>
      </c>
    </row>
    <row r="431">
      <c r="A431" s="23" t="n">
        <v>418</v>
      </c>
      <c r="B431" s="1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7">
        <f>R431-Q431</f>
        <v/>
      </c>
      <c r="U431" s="7">
        <f>S431-Q431</f>
        <v/>
      </c>
      <c r="V431" s="1" t="n"/>
      <c r="W431" s="9">
        <f>S431-R431</f>
        <v/>
      </c>
      <c r="X431" s="9" t="n"/>
      <c r="AM431">
        <f>_xlfn.TEXTJOIN(" + ", TRUE, I431:M431)</f>
        <v/>
      </c>
    </row>
    <row r="432">
      <c r="A432" s="23" t="n">
        <v>419</v>
      </c>
      <c r="B432" s="1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7">
        <f>R432-Q432</f>
        <v/>
      </c>
      <c r="U432" s="7">
        <f>S432-Q432</f>
        <v/>
      </c>
      <c r="V432" s="1" t="n"/>
      <c r="W432" s="9">
        <f>S432-R432</f>
        <v/>
      </c>
      <c r="X432" s="9" t="n"/>
      <c r="AM432">
        <f>_xlfn.TEXTJOIN(" + ", TRUE, I432:M432)</f>
        <v/>
      </c>
    </row>
    <row r="433">
      <c r="A433" s="23" t="n">
        <v>420</v>
      </c>
      <c r="B433" s="1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7">
        <f>R433-Q433</f>
        <v/>
      </c>
      <c r="U433" s="7">
        <f>S433-Q433</f>
        <v/>
      </c>
      <c r="V433" s="1" t="n"/>
      <c r="W433" s="9">
        <f>S433-R433</f>
        <v/>
      </c>
      <c r="X433" s="9" t="n"/>
      <c r="AM433">
        <f>_xlfn.TEXTJOIN(" + ", TRUE, I433:M433)</f>
        <v/>
      </c>
    </row>
    <row r="434">
      <c r="A434" s="23" t="n">
        <v>421</v>
      </c>
      <c r="B434" s="1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7">
        <f>R434-Q434</f>
        <v/>
      </c>
      <c r="U434" s="7">
        <f>S434-Q434</f>
        <v/>
      </c>
      <c r="V434" s="1" t="n"/>
      <c r="W434" s="9">
        <f>S434-R434</f>
        <v/>
      </c>
      <c r="X434" s="9" t="n"/>
      <c r="AM434">
        <f>_xlfn.TEXTJOIN(" + ", TRUE, I434:M434)</f>
        <v/>
      </c>
    </row>
    <row r="435">
      <c r="A435" s="23" t="n">
        <v>422</v>
      </c>
      <c r="B435" s="1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7">
        <f>R435-Q435</f>
        <v/>
      </c>
      <c r="U435" s="7">
        <f>S435-Q435</f>
        <v/>
      </c>
      <c r="V435" s="1" t="n"/>
      <c r="W435" s="9">
        <f>S435-R435</f>
        <v/>
      </c>
      <c r="X435" s="9" t="n"/>
      <c r="AM435">
        <f>_xlfn.TEXTJOIN(" + ", TRUE, I435:M435)</f>
        <v/>
      </c>
    </row>
    <row r="436">
      <c r="A436" s="23" t="n">
        <v>423</v>
      </c>
      <c r="B436" s="1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7">
        <f>R436-Q436</f>
        <v/>
      </c>
      <c r="U436" s="7">
        <f>S436-Q436</f>
        <v/>
      </c>
      <c r="V436" s="1" t="n"/>
      <c r="W436" s="9">
        <f>S436-R436</f>
        <v/>
      </c>
      <c r="X436" s="9" t="n"/>
      <c r="AM436">
        <f>_xlfn.TEXTJOIN(" + ", TRUE, I436:M436)</f>
        <v/>
      </c>
    </row>
    <row r="437">
      <c r="A437" s="23" t="n">
        <v>424</v>
      </c>
      <c r="B437" s="1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7">
        <f>R437-Q437</f>
        <v/>
      </c>
      <c r="U437" s="7">
        <f>S437-Q437</f>
        <v/>
      </c>
      <c r="V437" s="1" t="n"/>
      <c r="W437" s="9">
        <f>S437-R437</f>
        <v/>
      </c>
      <c r="X437" s="9" t="n"/>
      <c r="AM437">
        <f>_xlfn.TEXTJOIN(" + ", TRUE, I437:M437)</f>
        <v/>
      </c>
    </row>
    <row r="438">
      <c r="A438" s="23" t="n">
        <v>425</v>
      </c>
      <c r="B438" s="1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7">
        <f>R438-Q438</f>
        <v/>
      </c>
      <c r="U438" s="7">
        <f>S438-Q438</f>
        <v/>
      </c>
      <c r="V438" s="1" t="n"/>
      <c r="W438" s="9">
        <f>S438-R438</f>
        <v/>
      </c>
      <c r="X438" s="9" t="n"/>
      <c r="AM438">
        <f>_xlfn.TEXTJOIN(" + ", TRUE, I438:M438)</f>
        <v/>
      </c>
    </row>
    <row r="439">
      <c r="A439" s="23" t="n">
        <v>426</v>
      </c>
      <c r="B439" s="1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7">
        <f>R439-Q439</f>
        <v/>
      </c>
      <c r="U439" s="7">
        <f>S439-Q439</f>
        <v/>
      </c>
      <c r="V439" s="1" t="n"/>
      <c r="W439" s="9">
        <f>S439-R439</f>
        <v/>
      </c>
      <c r="X439" s="9" t="n"/>
      <c r="AM439">
        <f>_xlfn.TEXTJOIN(" + ", TRUE, I439:M439)</f>
        <v/>
      </c>
    </row>
    <row r="440">
      <c r="A440" s="23" t="n">
        <v>427</v>
      </c>
      <c r="B440" s="1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7">
        <f>R440-Q440</f>
        <v/>
      </c>
      <c r="U440" s="7">
        <f>S440-Q440</f>
        <v/>
      </c>
      <c r="V440" s="1" t="n"/>
      <c r="W440" s="9">
        <f>S440-R440</f>
        <v/>
      </c>
      <c r="X440" s="9" t="n"/>
      <c r="AM440">
        <f>_xlfn.TEXTJOIN(" + ", TRUE, I440:M440)</f>
        <v/>
      </c>
    </row>
    <row r="441">
      <c r="A441" s="23" t="n">
        <v>428</v>
      </c>
      <c r="B441" s="1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7">
        <f>R441-Q441</f>
        <v/>
      </c>
      <c r="U441" s="7">
        <f>S441-Q441</f>
        <v/>
      </c>
      <c r="V441" s="1" t="n"/>
      <c r="W441" s="9">
        <f>S441-R441</f>
        <v/>
      </c>
      <c r="X441" s="9" t="n"/>
      <c r="AM441">
        <f>_xlfn.TEXTJOIN(" + ", TRUE, I441:M441)</f>
        <v/>
      </c>
    </row>
    <row r="442">
      <c r="A442" s="23" t="n">
        <v>429</v>
      </c>
      <c r="B442" s="1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7">
        <f>R442-Q442</f>
        <v/>
      </c>
      <c r="U442" s="7">
        <f>S442-Q442</f>
        <v/>
      </c>
      <c r="V442" s="1" t="n"/>
      <c r="W442" s="9">
        <f>S442-R442</f>
        <v/>
      </c>
      <c r="X442" s="9" t="n"/>
      <c r="AM442">
        <f>_xlfn.TEXTJOIN(" + ", TRUE, I442:M442)</f>
        <v/>
      </c>
    </row>
    <row r="443">
      <c r="A443" s="23" t="n">
        <v>430</v>
      </c>
      <c r="B443" s="1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7">
        <f>R443-Q443</f>
        <v/>
      </c>
      <c r="U443" s="7">
        <f>S443-Q443</f>
        <v/>
      </c>
      <c r="V443" s="1" t="n"/>
      <c r="W443" s="9">
        <f>S443-R443</f>
        <v/>
      </c>
      <c r="X443" s="9" t="n"/>
      <c r="AM443">
        <f>_xlfn.TEXTJOIN(" + ", TRUE, I443:M443)</f>
        <v/>
      </c>
    </row>
    <row r="444">
      <c r="A444" s="23" t="n">
        <v>431</v>
      </c>
      <c r="B444" s="1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7">
        <f>R444-Q444</f>
        <v/>
      </c>
      <c r="U444" s="7">
        <f>S444-Q444</f>
        <v/>
      </c>
      <c r="V444" s="1" t="n"/>
      <c r="W444" s="9">
        <f>S444-R444</f>
        <v/>
      </c>
      <c r="X444" s="9" t="n"/>
      <c r="AM444">
        <f>_xlfn.TEXTJOIN(" + ", TRUE, I444:M444)</f>
        <v/>
      </c>
    </row>
    <row r="445">
      <c r="A445" s="23" t="n">
        <v>432</v>
      </c>
      <c r="B445" s="1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7">
        <f>R445-Q445</f>
        <v/>
      </c>
      <c r="U445" s="7">
        <f>S445-Q445</f>
        <v/>
      </c>
      <c r="V445" s="1" t="n"/>
      <c r="W445" s="9">
        <f>S445-R445</f>
        <v/>
      </c>
      <c r="X445" s="9" t="n"/>
      <c r="AM445">
        <f>_xlfn.TEXTJOIN(" + ", TRUE, I445:M445)</f>
        <v/>
      </c>
    </row>
    <row r="446">
      <c r="A446" s="23" t="n">
        <v>433</v>
      </c>
      <c r="B446" s="1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7">
        <f>R446-Q446</f>
        <v/>
      </c>
      <c r="U446" s="7">
        <f>S446-Q446</f>
        <v/>
      </c>
      <c r="V446" s="1" t="n"/>
      <c r="W446" s="9">
        <f>S446-R446</f>
        <v/>
      </c>
      <c r="X446" s="9" t="n"/>
      <c r="AM446">
        <f>_xlfn.TEXTJOIN(" + ", TRUE, I446:M446)</f>
        <v/>
      </c>
    </row>
    <row r="447">
      <c r="A447" s="23" t="n">
        <v>434</v>
      </c>
      <c r="B447" s="1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7">
        <f>R447-Q447</f>
        <v/>
      </c>
      <c r="U447" s="7">
        <f>S447-Q447</f>
        <v/>
      </c>
      <c r="V447" s="1" t="n"/>
      <c r="W447" s="9">
        <f>S447-R447</f>
        <v/>
      </c>
      <c r="X447" s="9" t="n"/>
      <c r="AM447">
        <f>_xlfn.TEXTJOIN(" + ", TRUE, I447:M447)</f>
        <v/>
      </c>
    </row>
    <row r="448">
      <c r="A448" s="23" t="n">
        <v>435</v>
      </c>
      <c r="B448" s="1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7">
        <f>R448-Q448</f>
        <v/>
      </c>
      <c r="U448" s="7">
        <f>S448-Q448</f>
        <v/>
      </c>
      <c r="V448" s="1" t="n"/>
      <c r="W448" s="9">
        <f>S448-R448</f>
        <v/>
      </c>
      <c r="X448" s="9" t="n"/>
      <c r="AM448">
        <f>_xlfn.TEXTJOIN(" + ", TRUE, I448:M448)</f>
        <v/>
      </c>
    </row>
    <row r="449">
      <c r="A449" s="23" t="n">
        <v>436</v>
      </c>
      <c r="B449" s="1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7">
        <f>R449-Q449</f>
        <v/>
      </c>
      <c r="U449" s="7">
        <f>S449-Q449</f>
        <v/>
      </c>
      <c r="V449" s="1" t="n"/>
      <c r="W449" s="9">
        <f>S449-R449</f>
        <v/>
      </c>
      <c r="X449" s="9" t="n"/>
      <c r="AM449">
        <f>_xlfn.TEXTJOIN(" + ", TRUE, I449:M449)</f>
        <v/>
      </c>
    </row>
    <row r="450">
      <c r="A450" s="23" t="n">
        <v>437</v>
      </c>
      <c r="B450" s="1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7">
        <f>R450-Q450</f>
        <v/>
      </c>
      <c r="U450" s="7">
        <f>S450-Q450</f>
        <v/>
      </c>
      <c r="V450" s="1" t="n"/>
      <c r="W450" s="9">
        <f>S450-R450</f>
        <v/>
      </c>
      <c r="X450" s="9" t="n"/>
      <c r="AM450">
        <f>_xlfn.TEXTJOIN(" + ", TRUE, I450:M450)</f>
        <v/>
      </c>
    </row>
    <row r="451">
      <c r="A451" s="23" t="n">
        <v>438</v>
      </c>
      <c r="B451" s="1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7">
        <f>R451-Q451</f>
        <v/>
      </c>
      <c r="U451" s="7">
        <f>S451-Q451</f>
        <v/>
      </c>
      <c r="V451" s="1" t="n"/>
      <c r="W451" s="9">
        <f>S451-R451</f>
        <v/>
      </c>
      <c r="X451" s="9" t="n"/>
      <c r="AM451">
        <f>_xlfn.TEXTJOIN(" + ", TRUE, I451:M451)</f>
        <v/>
      </c>
    </row>
    <row r="452">
      <c r="A452" s="23" t="n">
        <v>439</v>
      </c>
      <c r="B452" s="1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7">
        <f>R452-Q452</f>
        <v/>
      </c>
      <c r="U452" s="7">
        <f>S452-Q452</f>
        <v/>
      </c>
      <c r="V452" s="1" t="n"/>
      <c r="W452" s="9">
        <f>S452-R452</f>
        <v/>
      </c>
      <c r="X452" s="9" t="n"/>
      <c r="AM452">
        <f>_xlfn.TEXTJOIN(" + ", TRUE, I452:M452)</f>
        <v/>
      </c>
    </row>
    <row r="453">
      <c r="A453" s="23" t="n">
        <v>440</v>
      </c>
      <c r="B453" s="1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7">
        <f>R453-Q453</f>
        <v/>
      </c>
      <c r="U453" s="7">
        <f>S453-Q453</f>
        <v/>
      </c>
      <c r="V453" s="1" t="n"/>
      <c r="W453" s="9">
        <f>S453-R453</f>
        <v/>
      </c>
      <c r="X453" s="9" t="n"/>
      <c r="AM453">
        <f>_xlfn.TEXTJOIN(" + ", TRUE, I453:M453)</f>
        <v/>
      </c>
    </row>
    <row r="454">
      <c r="A454" s="23" t="n">
        <v>441</v>
      </c>
      <c r="B454" s="1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7">
        <f>R454-Q454</f>
        <v/>
      </c>
      <c r="U454" s="7">
        <f>S454-Q454</f>
        <v/>
      </c>
      <c r="V454" s="1" t="n"/>
      <c r="W454" s="9">
        <f>S454-R454</f>
        <v/>
      </c>
      <c r="X454" s="9" t="n"/>
      <c r="AM454">
        <f>_xlfn.TEXTJOIN(" + ", TRUE, I454:M454)</f>
        <v/>
      </c>
    </row>
    <row r="455">
      <c r="A455" s="23" t="n">
        <v>442</v>
      </c>
      <c r="B455" s="1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7">
        <f>R455-Q455</f>
        <v/>
      </c>
      <c r="U455" s="7">
        <f>S455-Q455</f>
        <v/>
      </c>
      <c r="V455" s="1" t="n"/>
      <c r="W455" s="9">
        <f>S455-R455</f>
        <v/>
      </c>
      <c r="X455" s="9" t="n"/>
      <c r="AM455">
        <f>_xlfn.TEXTJOIN(" + ", TRUE, I455:M455)</f>
        <v/>
      </c>
    </row>
    <row r="456">
      <c r="A456" s="23" t="n">
        <v>443</v>
      </c>
      <c r="B456" s="1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7">
        <f>R456-Q456</f>
        <v/>
      </c>
      <c r="U456" s="7">
        <f>S456-Q456</f>
        <v/>
      </c>
      <c r="V456" s="1" t="n"/>
      <c r="W456" s="9">
        <f>S456-R456</f>
        <v/>
      </c>
      <c r="X456" s="9" t="n"/>
      <c r="AM456">
        <f>_xlfn.TEXTJOIN(" + ", TRUE, I456:M456)</f>
        <v/>
      </c>
    </row>
    <row r="457">
      <c r="A457" s="23" t="n">
        <v>444</v>
      </c>
      <c r="B457" s="1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7">
        <f>R457-Q457</f>
        <v/>
      </c>
      <c r="U457" s="7">
        <f>S457-Q457</f>
        <v/>
      </c>
      <c r="V457" s="1" t="n"/>
      <c r="W457" s="9">
        <f>S457-R457</f>
        <v/>
      </c>
      <c r="X457" s="9" t="n"/>
      <c r="AM457">
        <f>_xlfn.TEXTJOIN(" + ", TRUE, I457:M457)</f>
        <v/>
      </c>
    </row>
    <row r="458">
      <c r="A458" s="23" t="n">
        <v>445</v>
      </c>
      <c r="B458" s="1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7">
        <f>R458-Q458</f>
        <v/>
      </c>
      <c r="U458" s="7">
        <f>S458-Q458</f>
        <v/>
      </c>
      <c r="V458" s="1" t="n"/>
      <c r="W458" s="9">
        <f>S458-R458</f>
        <v/>
      </c>
      <c r="X458" s="9" t="n"/>
      <c r="AM458">
        <f>_xlfn.TEXTJOIN(" + ", TRUE, I458:M458)</f>
        <v/>
      </c>
    </row>
    <row r="459">
      <c r="A459" s="23" t="n">
        <v>446</v>
      </c>
      <c r="B459" s="1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7">
        <f>R459-Q459</f>
        <v/>
      </c>
      <c r="U459" s="7">
        <f>S459-Q459</f>
        <v/>
      </c>
      <c r="V459" s="1" t="n"/>
      <c r="W459" s="9">
        <f>S459-R459</f>
        <v/>
      </c>
      <c r="X459" s="9" t="n"/>
      <c r="AM459">
        <f>_xlfn.TEXTJOIN(" + ", TRUE, I459:M459)</f>
        <v/>
      </c>
    </row>
    <row r="460">
      <c r="A460" s="23" t="n">
        <v>447</v>
      </c>
      <c r="B460" s="1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7">
        <f>R460-Q460</f>
        <v/>
      </c>
      <c r="U460" s="7">
        <f>S460-Q460</f>
        <v/>
      </c>
      <c r="V460" s="1" t="n"/>
      <c r="W460" s="9">
        <f>S460-R460</f>
        <v/>
      </c>
      <c r="X460" s="9" t="n"/>
      <c r="AM460">
        <f>_xlfn.TEXTJOIN(" + ", TRUE, I460:M460)</f>
        <v/>
      </c>
    </row>
    <row r="461">
      <c r="A461" s="23" t="n">
        <v>448</v>
      </c>
      <c r="B461" s="1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7">
        <f>R461-Q461</f>
        <v/>
      </c>
      <c r="U461" s="7">
        <f>S461-Q461</f>
        <v/>
      </c>
      <c r="V461" s="1" t="n"/>
      <c r="W461" s="9">
        <f>S461-R461</f>
        <v/>
      </c>
      <c r="X461" s="9" t="n"/>
      <c r="AM461">
        <f>_xlfn.TEXTJOIN(" + ", TRUE, I461:M461)</f>
        <v/>
      </c>
    </row>
    <row r="462">
      <c r="A462" s="23" t="n">
        <v>449</v>
      </c>
      <c r="B462" s="1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7">
        <f>R462-Q462</f>
        <v/>
      </c>
      <c r="U462" s="7">
        <f>S462-Q462</f>
        <v/>
      </c>
      <c r="V462" s="1" t="n"/>
      <c r="W462" s="9">
        <f>S462-R462</f>
        <v/>
      </c>
      <c r="X462" s="9" t="n"/>
      <c r="AM462">
        <f>_xlfn.TEXTJOIN(" + ", TRUE, I462:M462)</f>
        <v/>
      </c>
    </row>
    <row r="463">
      <c r="A463" s="23" t="n">
        <v>450</v>
      </c>
      <c r="B463" s="1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7">
        <f>R463-Q463</f>
        <v/>
      </c>
      <c r="U463" s="7">
        <f>S463-Q463</f>
        <v/>
      </c>
      <c r="V463" s="1" t="n"/>
      <c r="W463" s="9">
        <f>S463-R463</f>
        <v/>
      </c>
      <c r="X463" s="9" t="n"/>
      <c r="AM463">
        <f>_xlfn.TEXTJOIN(" + ", TRUE, I463:M463)</f>
        <v/>
      </c>
    </row>
    <row r="464">
      <c r="A464" s="23" t="n">
        <v>451</v>
      </c>
      <c r="B464" s="1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7">
        <f>R464-Q464</f>
        <v/>
      </c>
      <c r="U464" s="7">
        <f>S464-Q464</f>
        <v/>
      </c>
      <c r="V464" s="1" t="n"/>
      <c r="W464" s="9">
        <f>S464-R464</f>
        <v/>
      </c>
      <c r="X464" s="9" t="n"/>
      <c r="AM464">
        <f>_xlfn.TEXTJOIN(" + ", TRUE, I464:M464)</f>
        <v/>
      </c>
    </row>
    <row r="465">
      <c r="A465" s="23" t="n">
        <v>452</v>
      </c>
      <c r="B465" s="1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7">
        <f>R465-Q465</f>
        <v/>
      </c>
      <c r="U465" s="7">
        <f>S465-Q465</f>
        <v/>
      </c>
      <c r="V465" s="1" t="n"/>
      <c r="W465" s="9">
        <f>S465-R465</f>
        <v/>
      </c>
      <c r="X465" s="9" t="n"/>
      <c r="AM465">
        <f>_xlfn.TEXTJOIN(" + ", TRUE, I465:M465)</f>
        <v/>
      </c>
    </row>
    <row r="466">
      <c r="A466" s="23" t="n">
        <v>453</v>
      </c>
      <c r="B466" s="1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7">
        <f>R466-Q466</f>
        <v/>
      </c>
      <c r="U466" s="7">
        <f>S466-Q466</f>
        <v/>
      </c>
      <c r="V466" s="1" t="n"/>
      <c r="W466" s="9">
        <f>S466-R466</f>
        <v/>
      </c>
      <c r="X466" s="9" t="n"/>
      <c r="AM466">
        <f>_xlfn.TEXTJOIN(" + ", TRUE, I466:M466)</f>
        <v/>
      </c>
    </row>
    <row r="467">
      <c r="A467" s="23" t="n">
        <v>454</v>
      </c>
      <c r="B467" s="1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7">
        <f>R467-Q467</f>
        <v/>
      </c>
      <c r="U467" s="7">
        <f>S467-Q467</f>
        <v/>
      </c>
      <c r="V467" s="1" t="n"/>
      <c r="W467" s="9">
        <f>S467-R467</f>
        <v/>
      </c>
      <c r="X467" s="9" t="n"/>
      <c r="AM467">
        <f>_xlfn.TEXTJOIN(" + ", TRUE, I467:M467)</f>
        <v/>
      </c>
    </row>
    <row r="468">
      <c r="A468" s="23" t="n">
        <v>455</v>
      </c>
      <c r="B468" s="1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7">
        <f>R468-Q468</f>
        <v/>
      </c>
      <c r="U468" s="7">
        <f>S468-Q468</f>
        <v/>
      </c>
      <c r="V468" s="1" t="n"/>
      <c r="W468" s="9">
        <f>S468-R468</f>
        <v/>
      </c>
      <c r="X468" s="9" t="n"/>
      <c r="AM468">
        <f>_xlfn.TEXTJOIN(" + ", TRUE, I468:M468)</f>
        <v/>
      </c>
    </row>
    <row r="469">
      <c r="A469" s="23" t="n">
        <v>456</v>
      </c>
      <c r="B469" s="1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7">
        <f>R469-Q469</f>
        <v/>
      </c>
      <c r="U469" s="7">
        <f>S469-Q469</f>
        <v/>
      </c>
      <c r="V469" s="1" t="n"/>
      <c r="W469" s="9">
        <f>S469-R469</f>
        <v/>
      </c>
      <c r="X469" s="9" t="n"/>
      <c r="AM469">
        <f>_xlfn.TEXTJOIN(" + ", TRUE, I469:M469)</f>
        <v/>
      </c>
    </row>
    <row r="470">
      <c r="A470" s="23" t="n">
        <v>457</v>
      </c>
      <c r="B470" s="1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7">
        <f>R470-Q470</f>
        <v/>
      </c>
      <c r="U470" s="7">
        <f>S470-Q470</f>
        <v/>
      </c>
      <c r="V470" s="1" t="n"/>
      <c r="W470" s="9">
        <f>S470-R470</f>
        <v/>
      </c>
      <c r="X470" s="9" t="n"/>
      <c r="AM470">
        <f>_xlfn.TEXTJOIN(" + ", TRUE, I470:M470)</f>
        <v/>
      </c>
    </row>
    <row r="471">
      <c r="A471" s="23" t="n">
        <v>458</v>
      </c>
      <c r="B471" s="1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7">
        <f>R471-Q471</f>
        <v/>
      </c>
      <c r="U471" s="7">
        <f>S471-Q471</f>
        <v/>
      </c>
      <c r="V471" s="1" t="n"/>
      <c r="W471" s="9">
        <f>S471-R471</f>
        <v/>
      </c>
      <c r="X471" s="9" t="n"/>
      <c r="AM471">
        <f>_xlfn.TEXTJOIN(" + ", TRUE, I471:M471)</f>
        <v/>
      </c>
    </row>
    <row r="472">
      <c r="A472" s="23" t="n">
        <v>459</v>
      </c>
      <c r="B472" s="1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7">
        <f>R472-Q472</f>
        <v/>
      </c>
      <c r="U472" s="7">
        <f>S472-Q472</f>
        <v/>
      </c>
      <c r="V472" s="1" t="n"/>
      <c r="W472" s="9">
        <f>S472-R472</f>
        <v/>
      </c>
      <c r="X472" s="9" t="n"/>
      <c r="AM472">
        <f>_xlfn.TEXTJOIN(" + ", TRUE, I472:M472)</f>
        <v/>
      </c>
    </row>
    <row r="473">
      <c r="A473" s="23" t="n">
        <v>460</v>
      </c>
      <c r="B473" s="1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7">
        <f>R473-Q473</f>
        <v/>
      </c>
      <c r="U473" s="7">
        <f>S473-Q473</f>
        <v/>
      </c>
      <c r="V473" s="1" t="n"/>
      <c r="W473" s="9">
        <f>S473-R473</f>
        <v/>
      </c>
      <c r="X473" s="9" t="n"/>
      <c r="AM473">
        <f>_xlfn.TEXTJOIN(" + ", TRUE, I473:M473)</f>
        <v/>
      </c>
    </row>
    <row r="474">
      <c r="A474" s="23" t="n">
        <v>461</v>
      </c>
      <c r="B474" s="1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7">
        <f>R474-Q474</f>
        <v/>
      </c>
      <c r="U474" s="7">
        <f>S474-Q474</f>
        <v/>
      </c>
      <c r="V474" s="1" t="n"/>
      <c r="W474" s="9">
        <f>S474-R474</f>
        <v/>
      </c>
      <c r="X474" s="9" t="n"/>
      <c r="AM474">
        <f>_xlfn.TEXTJOIN(" + ", TRUE, I474:M474)</f>
        <v/>
      </c>
    </row>
    <row r="475">
      <c r="A475" s="23" t="n">
        <v>462</v>
      </c>
      <c r="B475" s="1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7">
        <f>R475-Q475</f>
        <v/>
      </c>
      <c r="U475" s="7">
        <f>S475-Q475</f>
        <v/>
      </c>
      <c r="V475" s="1" t="n"/>
      <c r="W475" s="9">
        <f>S475-R475</f>
        <v/>
      </c>
      <c r="X475" s="9" t="n"/>
      <c r="AM475">
        <f>_xlfn.TEXTJOIN(" + ", TRUE, I475:M475)</f>
        <v/>
      </c>
    </row>
    <row r="476">
      <c r="A476" s="23" t="n">
        <v>463</v>
      </c>
      <c r="B476" s="1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7">
        <f>R476-Q476</f>
        <v/>
      </c>
      <c r="U476" s="7">
        <f>S476-Q476</f>
        <v/>
      </c>
      <c r="V476" s="1" t="n"/>
      <c r="W476" s="9">
        <f>S476-R476</f>
        <v/>
      </c>
      <c r="X476" s="9" t="n"/>
      <c r="AM476">
        <f>_xlfn.TEXTJOIN(" + ", TRUE, I476:M476)</f>
        <v/>
      </c>
    </row>
    <row r="477">
      <c r="A477" s="23" t="n">
        <v>464</v>
      </c>
      <c r="B477" s="1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7">
        <f>R477-Q477</f>
        <v/>
      </c>
      <c r="U477" s="7">
        <f>S477-Q477</f>
        <v/>
      </c>
      <c r="V477" s="1" t="n"/>
      <c r="W477" s="9">
        <f>S477-R477</f>
        <v/>
      </c>
      <c r="X477" s="9" t="n"/>
      <c r="AM477">
        <f>_xlfn.TEXTJOIN(" + ", TRUE, I477:M477)</f>
        <v/>
      </c>
    </row>
    <row r="478">
      <c r="A478" s="23" t="n">
        <v>465</v>
      </c>
      <c r="B478" s="1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7">
        <f>R478-Q478</f>
        <v/>
      </c>
      <c r="U478" s="7">
        <f>S478-Q478</f>
        <v/>
      </c>
      <c r="V478" s="1" t="n"/>
      <c r="W478" s="9">
        <f>S478-R478</f>
        <v/>
      </c>
      <c r="X478" s="9" t="n"/>
      <c r="AM478">
        <f>_xlfn.TEXTJOIN(" + ", TRUE, I478:M478)</f>
        <v/>
      </c>
    </row>
    <row r="479">
      <c r="A479" s="23" t="n">
        <v>466</v>
      </c>
      <c r="B479" s="1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7">
        <f>R479-Q479</f>
        <v/>
      </c>
      <c r="U479" s="7">
        <f>S479-Q479</f>
        <v/>
      </c>
      <c r="V479" s="1" t="n"/>
      <c r="W479" s="9">
        <f>S479-R479</f>
        <v/>
      </c>
      <c r="X479" s="9" t="n"/>
      <c r="AM479">
        <f>_xlfn.TEXTJOIN(" + ", TRUE, I479:M479)</f>
        <v/>
      </c>
    </row>
    <row r="480">
      <c r="A480" s="23" t="n">
        <v>467</v>
      </c>
      <c r="B480" s="1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7">
        <f>R480-Q480</f>
        <v/>
      </c>
      <c r="U480" s="7">
        <f>S480-Q480</f>
        <v/>
      </c>
      <c r="V480" s="1" t="n"/>
      <c r="W480" s="9">
        <f>S480-R480</f>
        <v/>
      </c>
      <c r="X480" s="9" t="n"/>
      <c r="AM480">
        <f>_xlfn.TEXTJOIN(" + ", TRUE, I480:M480)</f>
        <v/>
      </c>
    </row>
    <row r="481">
      <c r="A481" s="23" t="n">
        <v>468</v>
      </c>
      <c r="B481" s="1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7">
        <f>R481-Q481</f>
        <v/>
      </c>
      <c r="U481" s="7">
        <f>S481-Q481</f>
        <v/>
      </c>
      <c r="V481" s="1" t="n"/>
      <c r="W481" s="9">
        <f>S481-R481</f>
        <v/>
      </c>
      <c r="X481" s="9" t="n"/>
      <c r="AM481">
        <f>_xlfn.TEXTJOIN(" + ", TRUE, I481:M481)</f>
        <v/>
      </c>
    </row>
    <row r="482">
      <c r="A482" s="23" t="n">
        <v>469</v>
      </c>
      <c r="B482" s="1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7">
        <f>R482-Q482</f>
        <v/>
      </c>
      <c r="U482" s="7">
        <f>S482-Q482</f>
        <v/>
      </c>
      <c r="V482" s="1" t="n"/>
      <c r="W482" s="9">
        <f>S482-R482</f>
        <v/>
      </c>
      <c r="X482" s="9" t="n"/>
      <c r="AM482">
        <f>_xlfn.TEXTJOIN(" + ", TRUE, I482:M482)</f>
        <v/>
      </c>
    </row>
    <row r="483">
      <c r="A483" s="23" t="n">
        <v>470</v>
      </c>
      <c r="B483" s="1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7">
        <f>R483-Q483</f>
        <v/>
      </c>
      <c r="U483" s="7">
        <f>S483-Q483</f>
        <v/>
      </c>
      <c r="V483" s="1" t="n"/>
      <c r="W483" s="9">
        <f>S483-R483</f>
        <v/>
      </c>
      <c r="X483" s="9" t="n"/>
      <c r="AM483">
        <f>_xlfn.TEXTJOIN(" + ", TRUE, I483:M483)</f>
        <v/>
      </c>
    </row>
    <row r="484">
      <c r="A484" s="23" t="n">
        <v>471</v>
      </c>
      <c r="B484" s="1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7">
        <f>R484-Q484</f>
        <v/>
      </c>
      <c r="U484" s="7">
        <f>S484-Q484</f>
        <v/>
      </c>
      <c r="V484" s="1" t="n"/>
      <c r="W484" s="9">
        <f>S484-R484</f>
        <v/>
      </c>
      <c r="X484" s="9" t="n"/>
      <c r="AM484">
        <f>_xlfn.TEXTJOIN(" + ", TRUE, I484:M484)</f>
        <v/>
      </c>
    </row>
    <row r="485">
      <c r="A485" s="23" t="n">
        <v>472</v>
      </c>
      <c r="B485" s="1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7">
        <f>R485-Q485</f>
        <v/>
      </c>
      <c r="U485" s="7">
        <f>S485-Q485</f>
        <v/>
      </c>
      <c r="V485" s="1" t="n"/>
      <c r="W485" s="9">
        <f>S485-R485</f>
        <v/>
      </c>
      <c r="X485" s="9" t="n"/>
      <c r="AM485">
        <f>_xlfn.TEXTJOIN(" + ", TRUE, I485:M485)</f>
        <v/>
      </c>
    </row>
    <row r="486">
      <c r="A486" s="23" t="n">
        <v>473</v>
      </c>
      <c r="B486" s="1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7">
        <f>R486-Q486</f>
        <v/>
      </c>
      <c r="U486" s="7">
        <f>S486-Q486</f>
        <v/>
      </c>
      <c r="V486" s="1" t="n"/>
      <c r="W486" s="9">
        <f>S486-R486</f>
        <v/>
      </c>
      <c r="X486" s="9" t="n"/>
      <c r="AM486">
        <f>_xlfn.TEXTJOIN(" + ", TRUE, I486:M486)</f>
        <v/>
      </c>
    </row>
    <row r="487">
      <c r="A487" s="23" t="n">
        <v>474</v>
      </c>
      <c r="B487" s="1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7">
        <f>R487-Q487</f>
        <v/>
      </c>
      <c r="U487" s="7">
        <f>S487-Q487</f>
        <v/>
      </c>
      <c r="V487" s="1" t="n"/>
      <c r="W487" s="9">
        <f>S487-R487</f>
        <v/>
      </c>
      <c r="X487" s="9" t="n"/>
      <c r="AM487">
        <f>_xlfn.TEXTJOIN(" + ", TRUE, I487:M487)</f>
        <v/>
      </c>
    </row>
    <row r="488">
      <c r="A488" s="23" t="n">
        <v>475</v>
      </c>
      <c r="B488" s="1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7">
        <f>R488-Q488</f>
        <v/>
      </c>
      <c r="U488" s="7">
        <f>S488-Q488</f>
        <v/>
      </c>
      <c r="V488" s="1" t="n"/>
      <c r="W488" s="9">
        <f>S488-R488</f>
        <v/>
      </c>
      <c r="X488" s="9" t="n"/>
      <c r="AM488">
        <f>_xlfn.TEXTJOIN(" + ", TRUE, I488:M488)</f>
        <v/>
      </c>
    </row>
    <row r="489">
      <c r="A489" s="23" t="n">
        <v>476</v>
      </c>
      <c r="B489" s="1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7">
        <f>R489-Q489</f>
        <v/>
      </c>
      <c r="U489" s="7">
        <f>S489-Q489</f>
        <v/>
      </c>
      <c r="V489" s="1" t="n"/>
      <c r="W489" s="9">
        <f>S489-R489</f>
        <v/>
      </c>
      <c r="X489" s="9" t="n"/>
      <c r="AM489">
        <f>_xlfn.TEXTJOIN(" + ", TRUE, I489:M489)</f>
        <v/>
      </c>
    </row>
    <row r="490">
      <c r="A490" s="23" t="n">
        <v>477</v>
      </c>
      <c r="B490" s="1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7">
        <f>R490-Q490</f>
        <v/>
      </c>
      <c r="U490" s="7">
        <f>S490-Q490</f>
        <v/>
      </c>
      <c r="V490" s="1" t="n"/>
      <c r="W490" s="9">
        <f>S490-R490</f>
        <v/>
      </c>
      <c r="X490" s="9" t="n"/>
      <c r="AM490">
        <f>_xlfn.TEXTJOIN(" + ", TRUE, I490:M490)</f>
        <v/>
      </c>
    </row>
    <row r="491">
      <c r="A491" s="23" t="n">
        <v>478</v>
      </c>
      <c r="B491" s="1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7">
        <f>R491-Q491</f>
        <v/>
      </c>
      <c r="U491" s="7">
        <f>S491-Q491</f>
        <v/>
      </c>
      <c r="V491" s="1" t="n"/>
      <c r="W491" s="9">
        <f>S491-R491</f>
        <v/>
      </c>
      <c r="X491" s="9" t="n"/>
      <c r="AM491">
        <f>_xlfn.TEXTJOIN(" + ", TRUE, I491:M491)</f>
        <v/>
      </c>
    </row>
    <row r="492">
      <c r="A492" s="23" t="n">
        <v>479</v>
      </c>
      <c r="B492" s="1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7">
        <f>R492-Q492</f>
        <v/>
      </c>
      <c r="U492" s="7">
        <f>S492-Q492</f>
        <v/>
      </c>
      <c r="V492" s="1" t="n"/>
      <c r="W492" s="9">
        <f>S492-R492</f>
        <v/>
      </c>
      <c r="X492" s="9" t="n"/>
      <c r="AM492">
        <f>_xlfn.TEXTJOIN(" + ", TRUE, I492:M492)</f>
        <v/>
      </c>
    </row>
    <row r="493">
      <c r="A493" s="23" t="n">
        <v>480</v>
      </c>
      <c r="B493" s="1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7">
        <f>R493-Q493</f>
        <v/>
      </c>
      <c r="U493" s="7">
        <f>S493-Q493</f>
        <v/>
      </c>
      <c r="V493" s="1" t="n"/>
      <c r="W493" s="9">
        <f>S493-R493</f>
        <v/>
      </c>
      <c r="X493" s="9" t="n"/>
      <c r="AM493">
        <f>_xlfn.TEXTJOIN(" + ", TRUE, I493:M493)</f>
        <v/>
      </c>
    </row>
    <row r="494">
      <c r="A494" s="23" t="n">
        <v>481</v>
      </c>
      <c r="B494" s="1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7">
        <f>R494-Q494</f>
        <v/>
      </c>
      <c r="U494" s="7">
        <f>S494-Q494</f>
        <v/>
      </c>
      <c r="V494" s="1" t="n"/>
      <c r="W494" s="9">
        <f>S494-R494</f>
        <v/>
      </c>
      <c r="X494" s="9" t="n"/>
      <c r="AM494">
        <f>_xlfn.TEXTJOIN(" + ", TRUE, I494:M494)</f>
        <v/>
      </c>
    </row>
    <row r="495">
      <c r="A495" s="23" t="n">
        <v>482</v>
      </c>
      <c r="B495" s="1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7">
        <f>R495-Q495</f>
        <v/>
      </c>
      <c r="U495" s="7">
        <f>S495-Q495</f>
        <v/>
      </c>
      <c r="V495" s="1" t="n"/>
      <c r="W495" s="9">
        <f>S495-R495</f>
        <v/>
      </c>
      <c r="X495" s="9" t="n"/>
      <c r="AM495">
        <f>_xlfn.TEXTJOIN(" + ", TRUE, I495:M495)</f>
        <v/>
      </c>
    </row>
    <row r="496">
      <c r="A496" s="23" t="n">
        <v>483</v>
      </c>
      <c r="B496" s="1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7">
        <f>R496-Q496</f>
        <v/>
      </c>
      <c r="U496" s="7">
        <f>S496-Q496</f>
        <v/>
      </c>
      <c r="V496" s="1" t="n"/>
      <c r="W496" s="9">
        <f>S496-R496</f>
        <v/>
      </c>
      <c r="X496" s="9" t="n"/>
      <c r="AM496">
        <f>_xlfn.TEXTJOIN(" + ", TRUE, I496:M496)</f>
        <v/>
      </c>
    </row>
    <row r="497">
      <c r="A497" s="23" t="n">
        <v>484</v>
      </c>
      <c r="B497" s="1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7">
        <f>R497-Q497</f>
        <v/>
      </c>
      <c r="U497" s="7">
        <f>S497-Q497</f>
        <v/>
      </c>
      <c r="V497" s="1" t="n"/>
      <c r="W497" s="9">
        <f>S497-R497</f>
        <v/>
      </c>
      <c r="X497" s="9" t="n"/>
      <c r="AM497">
        <f>_xlfn.TEXTJOIN(" + ", TRUE, I497:M497)</f>
        <v/>
      </c>
    </row>
    <row r="498">
      <c r="A498" s="23" t="n">
        <v>485</v>
      </c>
      <c r="B498" s="1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7">
        <f>R498-Q498</f>
        <v/>
      </c>
      <c r="U498" s="7">
        <f>S498-Q498</f>
        <v/>
      </c>
      <c r="V498" s="1" t="n"/>
      <c r="W498" s="9">
        <f>S498-R498</f>
        <v/>
      </c>
      <c r="X498" s="9" t="n"/>
      <c r="AM498">
        <f>_xlfn.TEXTJOIN(" + ", TRUE, I498:M498)</f>
        <v/>
      </c>
    </row>
    <row r="499">
      <c r="A499" s="23" t="n">
        <v>486</v>
      </c>
      <c r="B499" s="1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7">
        <f>R499-Q499</f>
        <v/>
      </c>
      <c r="U499" s="7">
        <f>S499-Q499</f>
        <v/>
      </c>
      <c r="V499" s="1" t="n"/>
      <c r="W499" s="9">
        <f>S499-R499</f>
        <v/>
      </c>
      <c r="X499" s="9" t="n"/>
      <c r="AM499">
        <f>_xlfn.TEXTJOIN(" + ", TRUE, I499:M499)</f>
        <v/>
      </c>
    </row>
    <row r="500">
      <c r="A500" s="23" t="n">
        <v>487</v>
      </c>
      <c r="B500" s="1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7">
        <f>R500-Q500</f>
        <v/>
      </c>
      <c r="U500" s="7">
        <f>S500-Q500</f>
        <v/>
      </c>
      <c r="V500" s="1" t="n"/>
      <c r="W500" s="9">
        <f>S500-R500</f>
        <v/>
      </c>
      <c r="X500" s="9" t="n"/>
      <c r="AM500">
        <f>_xlfn.TEXTJOIN(" + ", TRUE, I500:M500)</f>
        <v/>
      </c>
    </row>
    <row r="501">
      <c r="A501" s="23" t="n">
        <v>488</v>
      </c>
      <c r="B501" s="1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7">
        <f>R501-Q501</f>
        <v/>
      </c>
      <c r="U501" s="7">
        <f>S501-Q501</f>
        <v/>
      </c>
      <c r="V501" s="1" t="n"/>
      <c r="W501" s="9">
        <f>S501-R501</f>
        <v/>
      </c>
      <c r="X501" s="9" t="n"/>
      <c r="AM501">
        <f>_xlfn.TEXTJOIN(" + ", TRUE, I501:M501)</f>
        <v/>
      </c>
    </row>
    <row r="502">
      <c r="A502" s="23" t="n">
        <v>489</v>
      </c>
      <c r="B502" s="1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7">
        <f>R502-Q502</f>
        <v/>
      </c>
      <c r="U502" s="7">
        <f>S502-Q502</f>
        <v/>
      </c>
      <c r="V502" s="1" t="n"/>
      <c r="W502" s="9">
        <f>S502-R502</f>
        <v/>
      </c>
      <c r="X502" s="9" t="n"/>
      <c r="AM502">
        <f>_xlfn.TEXTJOIN(" + ", TRUE, I502:M502)</f>
        <v/>
      </c>
    </row>
    <row r="503">
      <c r="A503" s="23" t="n">
        <v>490</v>
      </c>
      <c r="B503" s="1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7">
        <f>R503-Q503</f>
        <v/>
      </c>
      <c r="U503" s="7">
        <f>S503-Q503</f>
        <v/>
      </c>
      <c r="V503" s="1" t="n"/>
      <c r="W503" s="9">
        <f>S503-R503</f>
        <v/>
      </c>
      <c r="X503" s="9" t="n"/>
      <c r="AM503">
        <f>_xlfn.TEXTJOIN(" + ", TRUE, I503:M503)</f>
        <v/>
      </c>
    </row>
    <row r="504">
      <c r="A504" s="23" t="n">
        <v>491</v>
      </c>
      <c r="B504" s="1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7">
        <f>R504-Q504</f>
        <v/>
      </c>
      <c r="U504" s="7">
        <f>S504-Q504</f>
        <v/>
      </c>
      <c r="V504" s="1" t="n"/>
      <c r="W504" s="9">
        <f>S504-R504</f>
        <v/>
      </c>
      <c r="X504" s="9" t="n"/>
      <c r="AM504">
        <f>_xlfn.TEXTJOIN(" + ", TRUE, I504:M504)</f>
        <v/>
      </c>
    </row>
    <row r="505">
      <c r="A505" s="23" t="n">
        <v>492</v>
      </c>
      <c r="B505" s="1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7">
        <f>R505-Q505</f>
        <v/>
      </c>
      <c r="U505" s="7">
        <f>S505-Q505</f>
        <v/>
      </c>
      <c r="V505" s="1" t="n"/>
      <c r="W505" s="9">
        <f>S505-R505</f>
        <v/>
      </c>
      <c r="X505" s="9" t="n"/>
      <c r="AM505">
        <f>_xlfn.TEXTJOIN(" + ", TRUE, I505:M505)</f>
        <v/>
      </c>
    </row>
    <row r="506">
      <c r="A506" s="23" t="n">
        <v>493</v>
      </c>
      <c r="B506" s="1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7">
        <f>R506-Q506</f>
        <v/>
      </c>
      <c r="U506" s="7">
        <f>S506-Q506</f>
        <v/>
      </c>
      <c r="V506" s="1" t="n"/>
      <c r="W506" s="9">
        <f>S506-R506</f>
        <v/>
      </c>
      <c r="X506" s="9" t="n"/>
      <c r="AM506">
        <f>_xlfn.TEXTJOIN(" + ", TRUE, I506:M506)</f>
        <v/>
      </c>
    </row>
    <row r="507">
      <c r="A507" s="23" t="n">
        <v>494</v>
      </c>
      <c r="B507" s="1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7">
        <f>R507-Q507</f>
        <v/>
      </c>
      <c r="U507" s="7">
        <f>S507-Q507</f>
        <v/>
      </c>
      <c r="V507" s="1" t="n"/>
      <c r="W507" s="9">
        <f>S507-R507</f>
        <v/>
      </c>
      <c r="X507" s="9" t="n"/>
      <c r="AM507">
        <f>_xlfn.TEXTJOIN(" + ", TRUE, I507:M507)</f>
        <v/>
      </c>
    </row>
    <row r="508">
      <c r="A508" s="23" t="n">
        <v>495</v>
      </c>
      <c r="B508" s="1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7">
        <f>R508-Q508</f>
        <v/>
      </c>
      <c r="U508" s="7">
        <f>S508-Q508</f>
        <v/>
      </c>
      <c r="V508" s="1" t="n"/>
      <c r="W508" s="9">
        <f>S508-R508</f>
        <v/>
      </c>
      <c r="X508" s="9" t="n"/>
      <c r="AM508">
        <f>_xlfn.TEXTJOIN(" + ", TRUE, I508:M508)</f>
        <v/>
      </c>
    </row>
    <row r="509">
      <c r="A509" s="23" t="n">
        <v>496</v>
      </c>
      <c r="B509" s="1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7">
        <f>R509-Q509</f>
        <v/>
      </c>
      <c r="U509" s="7">
        <f>S509-Q509</f>
        <v/>
      </c>
      <c r="V509" s="1" t="n"/>
      <c r="W509" s="9">
        <f>S509-R509</f>
        <v/>
      </c>
      <c r="X509" s="9" t="n"/>
      <c r="AM509">
        <f>_xlfn.TEXTJOIN(" + ", TRUE, I509:M509)</f>
        <v/>
      </c>
    </row>
    <row r="510">
      <c r="A510" s="23" t="n">
        <v>497</v>
      </c>
      <c r="B510" s="1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7">
        <f>R510-Q510</f>
        <v/>
      </c>
      <c r="U510" s="7">
        <f>S510-Q510</f>
        <v/>
      </c>
      <c r="V510" s="1" t="n"/>
      <c r="W510" s="9">
        <f>S510-R510</f>
        <v/>
      </c>
      <c r="X510" s="9" t="n"/>
      <c r="AM510">
        <f>_xlfn.TEXTJOIN(" + ", TRUE, I510:M510)</f>
        <v/>
      </c>
    </row>
    <row r="511">
      <c r="A511" s="23" t="n">
        <v>498</v>
      </c>
      <c r="B511" s="1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7">
        <f>R511-Q511</f>
        <v/>
      </c>
      <c r="U511" s="7">
        <f>S511-Q511</f>
        <v/>
      </c>
      <c r="V511" s="1" t="n"/>
      <c r="W511" s="9">
        <f>S511-R511</f>
        <v/>
      </c>
      <c r="X511" s="9" t="n"/>
      <c r="AM511">
        <f>_xlfn.TEXTJOIN(" + ", TRUE, I511:M511)</f>
        <v/>
      </c>
    </row>
    <row r="512">
      <c r="A512" s="23" t="n">
        <v>499</v>
      </c>
      <c r="B512" s="1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7">
        <f>R512-Q512</f>
        <v/>
      </c>
      <c r="U512" s="7">
        <f>S512-Q512</f>
        <v/>
      </c>
      <c r="V512" s="1" t="n"/>
      <c r="W512" s="9">
        <f>S512-R512</f>
        <v/>
      </c>
      <c r="X512" s="9" t="n"/>
      <c r="AM512">
        <f>_xlfn.TEXTJOIN(" + ", TRUE, I512:M512)</f>
        <v/>
      </c>
    </row>
    <row r="513">
      <c r="A513" s="23" t="n">
        <v>500</v>
      </c>
      <c r="B513" s="1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7">
        <f>R513-Q513</f>
        <v/>
      </c>
      <c r="U513" s="7">
        <f>S513-Q513</f>
        <v/>
      </c>
      <c r="V513" s="1" t="n"/>
      <c r="W513" s="9">
        <f>S513-R513</f>
        <v/>
      </c>
      <c r="X513" s="9" t="n"/>
      <c r="AM513">
        <f>_xlfn.TEXTJOIN(" + ", TRUE, I513:M513)</f>
        <v/>
      </c>
    </row>
    <row r="514">
      <c r="A514" s="23" t="n">
        <v>501</v>
      </c>
      <c r="B514" s="1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7">
        <f>R514-Q514</f>
        <v/>
      </c>
      <c r="U514" s="7">
        <f>S514-Q514</f>
        <v/>
      </c>
      <c r="V514" s="1" t="n"/>
      <c r="W514" s="9">
        <f>S514-R514</f>
        <v/>
      </c>
      <c r="X514" s="9" t="n"/>
      <c r="AM514">
        <f>_xlfn.TEXTJOIN(" + ", TRUE, I514:M514)</f>
        <v/>
      </c>
    </row>
    <row r="515">
      <c r="A515" s="23" t="n">
        <v>502</v>
      </c>
      <c r="B515" s="1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7">
        <f>R515-Q515</f>
        <v/>
      </c>
      <c r="U515" s="7">
        <f>S515-Q515</f>
        <v/>
      </c>
      <c r="V515" s="1" t="n"/>
      <c r="W515" s="9">
        <f>S515-R515</f>
        <v/>
      </c>
      <c r="X515" s="9" t="n"/>
      <c r="AM515">
        <f>_xlfn.TEXTJOIN(" + ", TRUE, I515:M515)</f>
        <v/>
      </c>
    </row>
    <row r="516">
      <c r="A516" s="23" t="n">
        <v>503</v>
      </c>
      <c r="B516" s="1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7">
        <f>R516-Q516</f>
        <v/>
      </c>
      <c r="U516" s="7">
        <f>S516-Q516</f>
        <v/>
      </c>
      <c r="V516" s="1" t="n"/>
      <c r="W516" s="9">
        <f>S516-R516</f>
        <v/>
      </c>
      <c r="X516" s="9" t="n"/>
      <c r="AM516">
        <f>_xlfn.TEXTJOIN(" + ", TRUE, I516:M516)</f>
        <v/>
      </c>
    </row>
    <row r="517">
      <c r="A517" s="23" t="n">
        <v>504</v>
      </c>
      <c r="B517" s="1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7">
        <f>R517-Q517</f>
        <v/>
      </c>
      <c r="U517" s="7">
        <f>S517-Q517</f>
        <v/>
      </c>
      <c r="V517" s="1" t="n"/>
      <c r="W517" s="9">
        <f>S517-R517</f>
        <v/>
      </c>
      <c r="X517" s="9" t="n"/>
      <c r="AM517">
        <f>_xlfn.TEXTJOIN(" + ", TRUE, I517:M517)</f>
        <v/>
      </c>
    </row>
    <row r="518">
      <c r="A518" s="23" t="n">
        <v>505</v>
      </c>
      <c r="B518" s="1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7">
        <f>R518-Q518</f>
        <v/>
      </c>
      <c r="U518" s="7">
        <f>S518-Q518</f>
        <v/>
      </c>
      <c r="V518" s="1" t="n"/>
      <c r="W518" s="9">
        <f>S518-R518</f>
        <v/>
      </c>
      <c r="X518" s="9" t="n"/>
      <c r="AM518">
        <f>_xlfn.TEXTJOIN(" + ", TRUE, I518:M518)</f>
        <v/>
      </c>
    </row>
    <row r="519">
      <c r="A519" s="23" t="n">
        <v>506</v>
      </c>
      <c r="B519" s="1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7">
        <f>R519-Q519</f>
        <v/>
      </c>
      <c r="U519" s="7">
        <f>S519-Q519</f>
        <v/>
      </c>
      <c r="V519" s="1" t="n"/>
      <c r="W519" s="9">
        <f>S519-R519</f>
        <v/>
      </c>
      <c r="X519" s="9" t="n"/>
      <c r="AM519">
        <f>_xlfn.TEXTJOIN(" + ", TRUE, I519:M519)</f>
        <v/>
      </c>
    </row>
    <row r="520">
      <c r="A520" s="23" t="n">
        <v>507</v>
      </c>
      <c r="B520" s="1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7">
        <f>R520-Q520</f>
        <v/>
      </c>
      <c r="U520" s="7">
        <f>S520-Q520</f>
        <v/>
      </c>
      <c r="V520" s="1" t="n"/>
      <c r="W520" s="9">
        <f>S520-R520</f>
        <v/>
      </c>
      <c r="X520" s="9" t="n"/>
      <c r="AM520">
        <f>_xlfn.TEXTJOIN(" + ", TRUE, I520:M520)</f>
        <v/>
      </c>
    </row>
    <row r="521">
      <c r="A521" s="23" t="n">
        <v>508</v>
      </c>
      <c r="B521" s="1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7">
        <f>R521-Q521</f>
        <v/>
      </c>
      <c r="U521" s="7">
        <f>S521-Q521</f>
        <v/>
      </c>
      <c r="V521" s="1" t="n"/>
      <c r="W521" s="9">
        <f>S521-R521</f>
        <v/>
      </c>
      <c r="X521" s="9" t="n"/>
      <c r="AM521">
        <f>_xlfn.TEXTJOIN(" + ", TRUE, I521:M521)</f>
        <v/>
      </c>
    </row>
    <row r="522">
      <c r="A522" s="23" t="n">
        <v>509</v>
      </c>
      <c r="B522" s="1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7">
        <f>R522-Q522</f>
        <v/>
      </c>
      <c r="U522" s="7">
        <f>S522-Q522</f>
        <v/>
      </c>
      <c r="V522" s="1" t="n"/>
      <c r="W522" s="9">
        <f>S522-R522</f>
        <v/>
      </c>
      <c r="X522" s="9" t="n"/>
      <c r="AM522">
        <f>_xlfn.TEXTJOIN(" + ", TRUE, I522:M522)</f>
        <v/>
      </c>
    </row>
    <row r="523">
      <c r="A523" s="23" t="n">
        <v>510</v>
      </c>
      <c r="B523" s="1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7">
        <f>R523-Q523</f>
        <v/>
      </c>
      <c r="U523" s="7">
        <f>S523-Q523</f>
        <v/>
      </c>
      <c r="V523" s="1" t="n"/>
      <c r="W523" s="9">
        <f>S523-R523</f>
        <v/>
      </c>
      <c r="X523" s="9" t="n"/>
      <c r="AM523">
        <f>_xlfn.TEXTJOIN(" + ", TRUE, I523:M523)</f>
        <v/>
      </c>
    </row>
    <row r="524">
      <c r="A524" s="23" t="n">
        <v>511</v>
      </c>
      <c r="B524" s="1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7">
        <f>R524-Q524</f>
        <v/>
      </c>
      <c r="U524" s="7">
        <f>S524-Q524</f>
        <v/>
      </c>
      <c r="V524" s="1" t="n"/>
      <c r="W524" s="9">
        <f>S524-R524</f>
        <v/>
      </c>
      <c r="X524" s="9" t="n"/>
      <c r="AM524">
        <f>_xlfn.TEXTJOIN(" + ", TRUE, I524:M524)</f>
        <v/>
      </c>
    </row>
    <row r="525">
      <c r="A525" s="23" t="n">
        <v>512</v>
      </c>
      <c r="B525" s="1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7">
        <f>R525-Q525</f>
        <v/>
      </c>
      <c r="U525" s="7">
        <f>S525-Q525</f>
        <v/>
      </c>
      <c r="V525" s="1" t="n"/>
      <c r="W525" s="9">
        <f>S525-R525</f>
        <v/>
      </c>
      <c r="X525" s="9" t="n"/>
      <c r="AM525">
        <f>_xlfn.TEXTJOIN(" + ", TRUE, I525:M525)</f>
        <v/>
      </c>
    </row>
    <row r="526">
      <c r="A526" s="23" t="n">
        <v>513</v>
      </c>
      <c r="B526" s="1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7">
        <f>R526-Q526</f>
        <v/>
      </c>
      <c r="U526" s="7">
        <f>S526-Q526</f>
        <v/>
      </c>
      <c r="V526" s="1" t="n"/>
      <c r="W526" s="9">
        <f>S526-R526</f>
        <v/>
      </c>
      <c r="X526" s="9" t="n"/>
      <c r="AM526">
        <f>_xlfn.TEXTJOIN(" + ", TRUE, I526:M526)</f>
        <v/>
      </c>
    </row>
    <row r="527">
      <c r="A527" s="23" t="n">
        <v>514</v>
      </c>
      <c r="B527" s="1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7">
        <f>R527-Q527</f>
        <v/>
      </c>
      <c r="U527" s="7">
        <f>S527-Q527</f>
        <v/>
      </c>
      <c r="V527" s="1" t="n"/>
      <c r="W527" s="9">
        <f>S527-R527</f>
        <v/>
      </c>
      <c r="X527" s="9" t="n"/>
      <c r="AM527">
        <f>_xlfn.TEXTJOIN(" + ", TRUE, I527:M527)</f>
        <v/>
      </c>
    </row>
    <row r="528">
      <c r="A528" s="23" t="n">
        <v>515</v>
      </c>
      <c r="B528" s="1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7">
        <f>R528-Q528</f>
        <v/>
      </c>
      <c r="U528" s="7">
        <f>S528-Q528</f>
        <v/>
      </c>
      <c r="V528" s="1" t="n"/>
      <c r="W528" s="9">
        <f>S528-R528</f>
        <v/>
      </c>
      <c r="X528" s="9" t="n"/>
      <c r="AM528">
        <f>_xlfn.TEXTJOIN(" + ", TRUE, I528:M528)</f>
        <v/>
      </c>
    </row>
    <row r="529">
      <c r="A529" s="23" t="n">
        <v>516</v>
      </c>
      <c r="B529" s="1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7">
        <f>R529-Q529</f>
        <v/>
      </c>
      <c r="U529" s="7">
        <f>S529-Q529</f>
        <v/>
      </c>
      <c r="V529" s="1" t="n"/>
      <c r="W529" s="9">
        <f>S529-R529</f>
        <v/>
      </c>
      <c r="X529" s="9" t="n"/>
      <c r="AM529">
        <f>_xlfn.TEXTJOIN(" + ", TRUE, I529:M529)</f>
        <v/>
      </c>
    </row>
    <row r="530">
      <c r="A530" s="23" t="n">
        <v>517</v>
      </c>
      <c r="B530" s="1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7">
        <f>R530-Q530</f>
        <v/>
      </c>
      <c r="U530" s="7">
        <f>S530-Q530</f>
        <v/>
      </c>
      <c r="V530" s="1" t="n"/>
      <c r="W530" s="9">
        <f>S530-R530</f>
        <v/>
      </c>
      <c r="X530" s="9" t="n"/>
      <c r="AM530">
        <f>_xlfn.TEXTJOIN(" + ", TRUE, I530:M530)</f>
        <v/>
      </c>
    </row>
    <row r="531">
      <c r="A531" s="23" t="n">
        <v>518</v>
      </c>
      <c r="B531" s="1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7">
        <f>R531-Q531</f>
        <v/>
      </c>
      <c r="U531" s="7">
        <f>S531-Q531</f>
        <v/>
      </c>
      <c r="V531" s="1" t="n"/>
      <c r="W531" s="9">
        <f>S531-R531</f>
        <v/>
      </c>
      <c r="X531" s="9" t="n"/>
      <c r="AM531">
        <f>_xlfn.TEXTJOIN(" + ", TRUE, I531:M531)</f>
        <v/>
      </c>
    </row>
    <row r="532">
      <c r="A532" s="23" t="n">
        <v>519</v>
      </c>
      <c r="B532" s="1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7">
        <f>R532-Q532</f>
        <v/>
      </c>
      <c r="U532" s="7">
        <f>S532-Q532</f>
        <v/>
      </c>
      <c r="V532" s="1" t="n"/>
      <c r="W532" s="9">
        <f>S532-R532</f>
        <v/>
      </c>
      <c r="X532" s="9" t="n"/>
      <c r="AM532">
        <f>_xlfn.TEXTJOIN(" + ", TRUE, I532:M532)</f>
        <v/>
      </c>
    </row>
    <row r="533">
      <c r="A533" s="23" t="n">
        <v>520</v>
      </c>
      <c r="B533" s="1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7">
        <f>R533-Q533</f>
        <v/>
      </c>
      <c r="U533" s="7">
        <f>S533-Q533</f>
        <v/>
      </c>
      <c r="V533" s="1" t="n"/>
      <c r="W533" s="9">
        <f>S533-R533</f>
        <v/>
      </c>
      <c r="X533" s="9" t="n"/>
      <c r="AM533">
        <f>_xlfn.TEXTJOIN(" + ", TRUE, I533:M533)</f>
        <v/>
      </c>
    </row>
    <row r="534">
      <c r="A534" s="23" t="n">
        <v>521</v>
      </c>
      <c r="B534" s="1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7">
        <f>R534-Q534</f>
        <v/>
      </c>
      <c r="U534" s="7">
        <f>S534-Q534</f>
        <v/>
      </c>
      <c r="V534" s="1" t="n"/>
      <c r="W534" s="9">
        <f>S534-R534</f>
        <v/>
      </c>
      <c r="X534" s="9" t="n"/>
      <c r="AM534">
        <f>_xlfn.TEXTJOIN(" + ", TRUE, I534:M534)</f>
        <v/>
      </c>
    </row>
    <row r="535">
      <c r="A535" s="23" t="n">
        <v>522</v>
      </c>
      <c r="B535" s="1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7">
        <f>R535-Q535</f>
        <v/>
      </c>
      <c r="U535" s="7">
        <f>S535-Q535</f>
        <v/>
      </c>
      <c r="V535" s="1" t="n"/>
      <c r="W535" s="9">
        <f>S535-R535</f>
        <v/>
      </c>
      <c r="X535" s="9" t="n"/>
      <c r="AM535">
        <f>_xlfn.TEXTJOIN(" + ", TRUE, I535:M535)</f>
        <v/>
      </c>
    </row>
    <row r="536">
      <c r="A536" s="23" t="n">
        <v>523</v>
      </c>
      <c r="B536" s="1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7">
        <f>R536-Q536</f>
        <v/>
      </c>
      <c r="U536" s="7">
        <f>S536-Q536</f>
        <v/>
      </c>
      <c r="V536" s="1" t="n"/>
      <c r="W536" s="9">
        <f>S536-R536</f>
        <v/>
      </c>
      <c r="X536" s="9" t="n"/>
      <c r="AM536">
        <f>_xlfn.TEXTJOIN(" + ", TRUE, I536:M536)</f>
        <v/>
      </c>
    </row>
    <row r="537">
      <c r="A537" s="23" t="n">
        <v>524</v>
      </c>
      <c r="B537" s="1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7">
        <f>R537-Q537</f>
        <v/>
      </c>
      <c r="U537" s="7">
        <f>S537-Q537</f>
        <v/>
      </c>
      <c r="V537" s="1" t="n"/>
      <c r="W537" s="9">
        <f>S537-R537</f>
        <v/>
      </c>
      <c r="X537" s="9" t="n"/>
      <c r="AM537">
        <f>_xlfn.TEXTJOIN(" + ", TRUE, I537:M537)</f>
        <v/>
      </c>
    </row>
    <row r="538">
      <c r="A538" s="23" t="n">
        <v>525</v>
      </c>
      <c r="B538" s="1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7">
        <f>R538-Q538</f>
        <v/>
      </c>
      <c r="U538" s="7">
        <f>S538-Q538</f>
        <v/>
      </c>
      <c r="V538" s="1" t="n"/>
      <c r="W538" s="9">
        <f>S538-R538</f>
        <v/>
      </c>
      <c r="X538" s="9" t="n"/>
      <c r="AM538">
        <f>_xlfn.TEXTJOIN(" + ", TRUE, I538:M538)</f>
        <v/>
      </c>
    </row>
    <row r="539">
      <c r="A539" s="23" t="n">
        <v>526</v>
      </c>
      <c r="B539" s="1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7">
        <f>R539-Q539</f>
        <v/>
      </c>
      <c r="U539" s="7">
        <f>S539-Q539</f>
        <v/>
      </c>
      <c r="V539" s="1" t="n"/>
      <c r="W539" s="9">
        <f>S539-R539</f>
        <v/>
      </c>
      <c r="X539" s="9" t="n"/>
      <c r="AM539">
        <f>_xlfn.TEXTJOIN(" + ", TRUE, I539:M539)</f>
        <v/>
      </c>
    </row>
    <row r="540">
      <c r="A540" s="23" t="n">
        <v>527</v>
      </c>
      <c r="B540" s="1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7">
        <f>R540-Q540</f>
        <v/>
      </c>
      <c r="U540" s="7">
        <f>S540-Q540</f>
        <v/>
      </c>
      <c r="V540" s="1" t="n"/>
      <c r="W540" s="9">
        <f>S540-R540</f>
        <v/>
      </c>
      <c r="X540" s="9" t="n"/>
      <c r="AM540">
        <f>_xlfn.TEXTJOIN(" + ", TRUE, I540:M540)</f>
        <v/>
      </c>
    </row>
    <row r="541">
      <c r="A541" s="23" t="n">
        <v>528</v>
      </c>
      <c r="B541" s="1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7">
        <f>R541-Q541</f>
        <v/>
      </c>
      <c r="U541" s="7">
        <f>S541-Q541</f>
        <v/>
      </c>
      <c r="V541" s="1" t="n"/>
      <c r="W541" s="9">
        <f>S541-R541</f>
        <v/>
      </c>
      <c r="X541" s="9" t="n"/>
      <c r="AM541">
        <f>_xlfn.TEXTJOIN(" + ", TRUE, I541:M541)</f>
        <v/>
      </c>
    </row>
    <row r="542">
      <c r="A542" s="23" t="n">
        <v>529</v>
      </c>
      <c r="B542" s="1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7">
        <f>R542-Q542</f>
        <v/>
      </c>
      <c r="U542" s="7">
        <f>S542-Q542</f>
        <v/>
      </c>
      <c r="V542" s="1" t="n"/>
      <c r="W542" s="9">
        <f>S542-R542</f>
        <v/>
      </c>
      <c r="X542" s="9" t="n"/>
      <c r="AM542">
        <f>_xlfn.TEXTJOIN(" + ", TRUE, I542:M542)</f>
        <v/>
      </c>
    </row>
    <row r="543">
      <c r="A543" s="23" t="n">
        <v>530</v>
      </c>
      <c r="B543" s="1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7">
        <f>R543-Q543</f>
        <v/>
      </c>
      <c r="U543" s="7">
        <f>S543-Q543</f>
        <v/>
      </c>
      <c r="V543" s="1" t="n"/>
      <c r="W543" s="9">
        <f>S543-R543</f>
        <v/>
      </c>
      <c r="X543" s="9" t="n"/>
      <c r="AM543">
        <f>_xlfn.TEXTJOIN(" + ", TRUE, I543:M543)</f>
        <v/>
      </c>
    </row>
    <row r="544">
      <c r="A544" s="23" t="n">
        <v>531</v>
      </c>
      <c r="B544" s="1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7">
        <f>R544-Q544</f>
        <v/>
      </c>
      <c r="U544" s="7">
        <f>S544-Q544</f>
        <v/>
      </c>
      <c r="V544" s="1" t="n"/>
      <c r="W544" s="9">
        <f>S544-R544</f>
        <v/>
      </c>
      <c r="X544" s="9" t="n"/>
      <c r="AM544">
        <f>_xlfn.TEXTJOIN(" + ", TRUE, I544:M544)</f>
        <v/>
      </c>
    </row>
    <row r="545">
      <c r="A545" s="23" t="n">
        <v>532</v>
      </c>
      <c r="B545" s="1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7">
        <f>R545-Q545</f>
        <v/>
      </c>
      <c r="U545" s="7">
        <f>S545-Q545</f>
        <v/>
      </c>
      <c r="V545" s="1" t="n"/>
      <c r="W545" s="9">
        <f>S545-R545</f>
        <v/>
      </c>
      <c r="X545" s="9" t="n"/>
      <c r="AM545">
        <f>_xlfn.TEXTJOIN(" + ", TRUE, I545:M545)</f>
        <v/>
      </c>
    </row>
    <row r="546">
      <c r="A546" s="23" t="n">
        <v>533</v>
      </c>
      <c r="B546" s="1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7">
        <f>R546-Q546</f>
        <v/>
      </c>
      <c r="U546" s="7">
        <f>S546-Q546</f>
        <v/>
      </c>
      <c r="V546" s="1" t="n"/>
      <c r="W546" s="9">
        <f>S546-R546</f>
        <v/>
      </c>
      <c r="X546" s="9" t="n"/>
      <c r="AM546">
        <f>_xlfn.TEXTJOIN(" + ", TRUE, I546:M546)</f>
        <v/>
      </c>
    </row>
    <row r="547">
      <c r="A547" s="23" t="n">
        <v>534</v>
      </c>
      <c r="B547" s="1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7">
        <f>R547-Q547</f>
        <v/>
      </c>
      <c r="U547" s="7">
        <f>S547-Q547</f>
        <v/>
      </c>
      <c r="V547" s="1" t="n"/>
      <c r="W547" s="9">
        <f>S547-R547</f>
        <v/>
      </c>
      <c r="X547" s="9" t="n"/>
      <c r="AM547">
        <f>_xlfn.TEXTJOIN(" + ", TRUE, I547:M547)</f>
        <v/>
      </c>
    </row>
    <row r="548">
      <c r="A548" s="23" t="n">
        <v>535</v>
      </c>
      <c r="B548" s="1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7">
        <f>R548-Q548</f>
        <v/>
      </c>
      <c r="U548" s="7">
        <f>S548-Q548</f>
        <v/>
      </c>
      <c r="V548" s="1" t="n"/>
      <c r="W548" s="9">
        <f>S548-R548</f>
        <v/>
      </c>
      <c r="X548" s="9" t="n"/>
      <c r="AM548">
        <f>_xlfn.TEXTJOIN(" + ", TRUE, I548:M548)</f>
        <v/>
      </c>
    </row>
    <row r="549">
      <c r="A549" s="23" t="n">
        <v>536</v>
      </c>
      <c r="B549" s="1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7">
        <f>R549-Q549</f>
        <v/>
      </c>
      <c r="U549" s="7">
        <f>S549-Q549</f>
        <v/>
      </c>
      <c r="V549" s="1" t="n"/>
      <c r="W549" s="9">
        <f>S549-R549</f>
        <v/>
      </c>
      <c r="X549" s="9" t="n"/>
      <c r="AM549">
        <f>_xlfn.TEXTJOIN(" + ", TRUE, I549:M549)</f>
        <v/>
      </c>
    </row>
    <row r="550">
      <c r="A550" s="23" t="n">
        <v>537</v>
      </c>
      <c r="B550" s="1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7">
        <f>R550-Q550</f>
        <v/>
      </c>
      <c r="U550" s="7">
        <f>S550-Q550</f>
        <v/>
      </c>
      <c r="V550" s="1" t="n"/>
      <c r="W550" s="9">
        <f>S550-R550</f>
        <v/>
      </c>
      <c r="X550" s="9" t="n"/>
      <c r="AM550">
        <f>_xlfn.TEXTJOIN(" + ", TRUE, I550:M550)</f>
        <v/>
      </c>
    </row>
    <row r="551">
      <c r="A551" s="23" t="n">
        <v>538</v>
      </c>
      <c r="B551" s="1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7">
        <f>R551-Q551</f>
        <v/>
      </c>
      <c r="U551" s="7">
        <f>S551-Q551</f>
        <v/>
      </c>
      <c r="V551" s="1" t="n"/>
      <c r="W551" s="9">
        <f>S551-R551</f>
        <v/>
      </c>
      <c r="X551" s="9" t="n"/>
      <c r="AM551">
        <f>_xlfn.TEXTJOIN(" + ", TRUE, I551:M551)</f>
        <v/>
      </c>
    </row>
    <row r="552">
      <c r="A552" s="23" t="n">
        <v>539</v>
      </c>
      <c r="B552" s="1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7">
        <f>R552-Q552</f>
        <v/>
      </c>
      <c r="U552" s="7">
        <f>S552-Q552</f>
        <v/>
      </c>
      <c r="V552" s="1" t="n"/>
      <c r="W552" s="9">
        <f>S552-R552</f>
        <v/>
      </c>
      <c r="X552" s="9" t="n"/>
      <c r="AM552">
        <f>_xlfn.TEXTJOIN(" + ", TRUE, I552:M552)</f>
        <v/>
      </c>
    </row>
    <row r="553">
      <c r="A553" s="23" t="n">
        <v>540</v>
      </c>
      <c r="B553" s="1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7">
        <f>R553-Q553</f>
        <v/>
      </c>
      <c r="U553" s="7">
        <f>S553-Q553</f>
        <v/>
      </c>
      <c r="V553" s="1" t="n"/>
      <c r="W553" s="9">
        <f>S553-R553</f>
        <v/>
      </c>
      <c r="X553" s="9" t="n"/>
      <c r="AM553">
        <f>_xlfn.TEXTJOIN(" + ", TRUE, I553:M553)</f>
        <v/>
      </c>
    </row>
    <row r="554">
      <c r="A554" s="23" t="n">
        <v>541</v>
      </c>
      <c r="B554" s="1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7">
        <f>R554-Q554</f>
        <v/>
      </c>
      <c r="U554" s="7">
        <f>S554-Q554</f>
        <v/>
      </c>
      <c r="V554" s="1" t="n"/>
      <c r="W554" s="9">
        <f>S554-R554</f>
        <v/>
      </c>
      <c r="X554" s="9" t="n"/>
      <c r="AM554">
        <f>_xlfn.TEXTJOIN(" + ", TRUE, I554:M554)</f>
        <v/>
      </c>
    </row>
    <row r="555">
      <c r="A555" s="23" t="n">
        <v>542</v>
      </c>
      <c r="B555" s="1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7">
        <f>R555-Q555</f>
        <v/>
      </c>
      <c r="U555" s="7">
        <f>S555-Q555</f>
        <v/>
      </c>
      <c r="V555" s="1" t="n"/>
      <c r="W555" s="9">
        <f>S555-R555</f>
        <v/>
      </c>
      <c r="X555" s="9" t="n"/>
      <c r="AM555">
        <f>_xlfn.TEXTJOIN(" + ", TRUE, I555:M555)</f>
        <v/>
      </c>
    </row>
    <row r="556">
      <c r="A556" s="23" t="n">
        <v>543</v>
      </c>
      <c r="B556" s="1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7">
        <f>R556-Q556</f>
        <v/>
      </c>
      <c r="U556" s="7">
        <f>S556-Q556</f>
        <v/>
      </c>
      <c r="V556" s="1" t="n"/>
      <c r="W556" s="9">
        <f>S556-R556</f>
        <v/>
      </c>
      <c r="X556" s="9" t="n"/>
      <c r="AM556">
        <f>_xlfn.TEXTJOIN(" + ", TRUE, I556:M556)</f>
        <v/>
      </c>
    </row>
    <row r="557">
      <c r="A557" s="23" t="n">
        <v>544</v>
      </c>
      <c r="B557" s="1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7">
        <f>R557-Q557</f>
        <v/>
      </c>
      <c r="U557" s="7">
        <f>S557-Q557</f>
        <v/>
      </c>
      <c r="V557" s="1" t="n"/>
      <c r="W557" s="9">
        <f>S557-R557</f>
        <v/>
      </c>
      <c r="X557" s="9" t="n"/>
      <c r="AM557">
        <f>_xlfn.TEXTJOIN(" + ", TRUE, I557:M557)</f>
        <v/>
      </c>
    </row>
    <row r="558">
      <c r="A558" s="23" t="n">
        <v>545</v>
      </c>
      <c r="B558" s="1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7">
        <f>R558-Q558</f>
        <v/>
      </c>
      <c r="U558" s="7">
        <f>S558-Q558</f>
        <v/>
      </c>
      <c r="V558" s="1" t="n"/>
      <c r="W558" s="9">
        <f>S558-R558</f>
        <v/>
      </c>
      <c r="X558" s="9" t="n"/>
      <c r="AM558">
        <f>_xlfn.TEXTJOIN(" + ", TRUE, I558:M558)</f>
        <v/>
      </c>
    </row>
    <row r="559">
      <c r="A559" s="23" t="n">
        <v>546</v>
      </c>
      <c r="B559" s="1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7">
        <f>R559-Q559</f>
        <v/>
      </c>
      <c r="U559" s="7">
        <f>S559-Q559</f>
        <v/>
      </c>
      <c r="V559" s="1" t="n"/>
      <c r="W559" s="9">
        <f>S559-R559</f>
        <v/>
      </c>
      <c r="X559" s="9" t="n"/>
      <c r="AM559">
        <f>_xlfn.TEXTJOIN(" + ", TRUE, I559:M559)</f>
        <v/>
      </c>
    </row>
    <row r="560">
      <c r="A560" s="23" t="n">
        <v>547</v>
      </c>
      <c r="B560" s="1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7">
        <f>R560-Q560</f>
        <v/>
      </c>
      <c r="U560" s="7">
        <f>S560-Q560</f>
        <v/>
      </c>
      <c r="V560" s="1" t="n"/>
      <c r="W560" s="9">
        <f>S560-R560</f>
        <v/>
      </c>
      <c r="X560" s="9" t="n"/>
      <c r="AM560">
        <f>_xlfn.TEXTJOIN(" + ", TRUE, I560:M560)</f>
        <v/>
      </c>
    </row>
    <row r="561">
      <c r="A561" s="23" t="n">
        <v>548</v>
      </c>
      <c r="B561" s="1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7">
        <f>R561-Q561</f>
        <v/>
      </c>
      <c r="U561" s="7">
        <f>S561-Q561</f>
        <v/>
      </c>
      <c r="V561" s="1" t="n"/>
      <c r="W561" s="9">
        <f>S561-R561</f>
        <v/>
      </c>
      <c r="X561" s="9" t="n"/>
      <c r="AM561">
        <f>_xlfn.TEXTJOIN(" + ", TRUE, I561:M561)</f>
        <v/>
      </c>
    </row>
    <row r="562">
      <c r="A562" s="23" t="n">
        <v>549</v>
      </c>
      <c r="B562" s="1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7">
        <f>R562-Q562</f>
        <v/>
      </c>
      <c r="U562" s="7">
        <f>S562-Q562</f>
        <v/>
      </c>
      <c r="V562" s="1" t="n"/>
      <c r="W562" s="9">
        <f>S562-R562</f>
        <v/>
      </c>
      <c r="X562" s="9" t="n"/>
      <c r="AM562">
        <f>_xlfn.TEXTJOIN(" + ", TRUE, I562:M562)</f>
        <v/>
      </c>
    </row>
    <row r="563">
      <c r="A563" s="23" t="n">
        <v>550</v>
      </c>
      <c r="B563" s="1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7">
        <f>R563-Q563</f>
        <v/>
      </c>
      <c r="U563" s="7">
        <f>S563-Q563</f>
        <v/>
      </c>
      <c r="V563" s="1" t="n"/>
      <c r="W563" s="9">
        <f>S563-R563</f>
        <v/>
      </c>
      <c r="X563" s="9" t="n"/>
      <c r="AM563">
        <f>_xlfn.TEXTJOIN(" + ", TRUE, I563:M563)</f>
        <v/>
      </c>
    </row>
    <row r="564">
      <c r="A564" s="23" t="n">
        <v>551</v>
      </c>
      <c r="B564" s="1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7">
        <f>R564-Q564</f>
        <v/>
      </c>
      <c r="U564" s="7">
        <f>S564-Q564</f>
        <v/>
      </c>
      <c r="V564" s="1" t="n"/>
      <c r="W564" s="9">
        <f>S564-R564</f>
        <v/>
      </c>
      <c r="X564" s="9" t="n"/>
      <c r="AM564">
        <f>_xlfn.TEXTJOIN(" + ", TRUE, I564:M564)</f>
        <v/>
      </c>
    </row>
    <row r="565">
      <c r="A565" s="23" t="n">
        <v>552</v>
      </c>
      <c r="B565" s="1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7">
        <f>R565-Q565</f>
        <v/>
      </c>
      <c r="U565" s="7">
        <f>S565-Q565</f>
        <v/>
      </c>
      <c r="V565" s="1" t="n"/>
      <c r="W565" s="9">
        <f>S565-R565</f>
        <v/>
      </c>
      <c r="X565" s="9" t="n"/>
      <c r="AM565">
        <f>_xlfn.TEXTJOIN(" + ", TRUE, I565:M565)</f>
        <v/>
      </c>
    </row>
    <row r="566">
      <c r="A566" s="23" t="n">
        <v>553</v>
      </c>
      <c r="B566" s="1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7">
        <f>R566-Q566</f>
        <v/>
      </c>
      <c r="U566" s="7">
        <f>S566-Q566</f>
        <v/>
      </c>
      <c r="V566" s="1" t="n"/>
      <c r="W566" s="9">
        <f>S566-R566</f>
        <v/>
      </c>
      <c r="X566" s="9" t="n"/>
      <c r="AM566">
        <f>_xlfn.TEXTJOIN(" + ", TRUE, I566:M566)</f>
        <v/>
      </c>
    </row>
    <row r="567">
      <c r="A567" s="23" t="n">
        <v>554</v>
      </c>
      <c r="B567" s="1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7">
        <f>R567-Q567</f>
        <v/>
      </c>
      <c r="U567" s="7">
        <f>S567-Q567</f>
        <v/>
      </c>
      <c r="V567" s="1" t="n"/>
      <c r="W567" s="9">
        <f>S567-R567</f>
        <v/>
      </c>
      <c r="X567" s="9" t="n"/>
      <c r="AM567">
        <f>_xlfn.TEXTJOIN(" + ", TRUE, I567:M567)</f>
        <v/>
      </c>
    </row>
    <row r="568">
      <c r="A568" s="23" t="n">
        <v>555</v>
      </c>
      <c r="B568" s="1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7">
        <f>R568-Q568</f>
        <v/>
      </c>
      <c r="U568" s="7">
        <f>S568-Q568</f>
        <v/>
      </c>
      <c r="V568" s="1" t="n"/>
      <c r="W568" s="9">
        <f>S568-R568</f>
        <v/>
      </c>
      <c r="X568" s="9" t="n"/>
      <c r="AM568">
        <f>_xlfn.TEXTJOIN(" + ", TRUE, I568:M568)</f>
        <v/>
      </c>
    </row>
    <row r="569">
      <c r="A569" s="23" t="n">
        <v>556</v>
      </c>
      <c r="B569" s="1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7">
        <f>R569-Q569</f>
        <v/>
      </c>
      <c r="U569" s="7">
        <f>S569-Q569</f>
        <v/>
      </c>
      <c r="V569" s="1" t="n"/>
      <c r="W569" s="9">
        <f>S569-R569</f>
        <v/>
      </c>
      <c r="X569" s="9" t="n"/>
      <c r="AM569">
        <f>_xlfn.TEXTJOIN(" + ", TRUE, I569:M569)</f>
        <v/>
      </c>
    </row>
    <row r="570">
      <c r="A570" s="23" t="n">
        <v>557</v>
      </c>
      <c r="B570" s="1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7">
        <f>R570-Q570</f>
        <v/>
      </c>
      <c r="U570" s="7">
        <f>S570-Q570</f>
        <v/>
      </c>
      <c r="V570" s="1" t="n"/>
      <c r="W570" s="9">
        <f>S570-R570</f>
        <v/>
      </c>
      <c r="X570" s="9" t="n"/>
      <c r="AM570">
        <f>_xlfn.TEXTJOIN(" + ", TRUE, I570:M570)</f>
        <v/>
      </c>
    </row>
    <row r="571">
      <c r="A571" s="23" t="n">
        <v>558</v>
      </c>
      <c r="B571" s="1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7">
        <f>R571-Q571</f>
        <v/>
      </c>
      <c r="U571" s="7">
        <f>S571-Q571</f>
        <v/>
      </c>
      <c r="V571" s="1" t="n"/>
      <c r="W571" s="9">
        <f>S571-R571</f>
        <v/>
      </c>
      <c r="X571" s="9" t="n"/>
      <c r="AM571">
        <f>_xlfn.TEXTJOIN(" + ", TRUE, I571:M571)</f>
        <v/>
      </c>
    </row>
    <row r="572">
      <c r="A572" s="23" t="n">
        <v>559</v>
      </c>
      <c r="B572" s="1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7">
        <f>R572-Q572</f>
        <v/>
      </c>
      <c r="U572" s="7">
        <f>S572-Q572</f>
        <v/>
      </c>
      <c r="V572" s="1" t="n"/>
      <c r="W572" s="9">
        <f>S572-R572</f>
        <v/>
      </c>
      <c r="X572" s="9" t="n"/>
      <c r="AM572">
        <f>_xlfn.TEXTJOIN(" + ", TRUE, I572:M572)</f>
        <v/>
      </c>
    </row>
    <row r="573">
      <c r="A573" s="23" t="n">
        <v>560</v>
      </c>
      <c r="B573" s="1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7">
        <f>R573-Q573</f>
        <v/>
      </c>
      <c r="U573" s="7">
        <f>S573-Q573</f>
        <v/>
      </c>
      <c r="V573" s="1" t="n"/>
      <c r="W573" s="9">
        <f>S573-R573</f>
        <v/>
      </c>
      <c r="X573" s="9" t="n"/>
      <c r="AM573">
        <f>_xlfn.TEXTJOIN(" + ", TRUE, I573:M573)</f>
        <v/>
      </c>
    </row>
    <row r="574">
      <c r="A574" s="23" t="n">
        <v>561</v>
      </c>
      <c r="B574" s="1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7">
        <f>R574-Q574</f>
        <v/>
      </c>
      <c r="U574" s="7">
        <f>S574-Q574</f>
        <v/>
      </c>
      <c r="V574" s="1" t="n"/>
      <c r="W574" s="9">
        <f>S574-R574</f>
        <v/>
      </c>
      <c r="X574" s="9" t="n"/>
      <c r="AM574">
        <f>_xlfn.TEXTJOIN(" + ", TRUE, I574:M574)</f>
        <v/>
      </c>
    </row>
    <row r="575">
      <c r="A575" s="23" t="n">
        <v>562</v>
      </c>
      <c r="B575" s="1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7">
        <f>R575-Q575</f>
        <v/>
      </c>
      <c r="U575" s="7">
        <f>S575-Q575</f>
        <v/>
      </c>
      <c r="V575" s="1" t="n"/>
      <c r="W575" s="9">
        <f>S575-R575</f>
        <v/>
      </c>
      <c r="X575" s="9" t="n"/>
      <c r="AM575">
        <f>_xlfn.TEXTJOIN(" + ", TRUE, I575:M575)</f>
        <v/>
      </c>
    </row>
    <row r="576">
      <c r="A576" s="23" t="n">
        <v>563</v>
      </c>
      <c r="B576" s="1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7">
        <f>R576-Q576</f>
        <v/>
      </c>
      <c r="U576" s="7">
        <f>S576-Q576</f>
        <v/>
      </c>
      <c r="V576" s="1" t="n"/>
      <c r="W576" s="9">
        <f>S576-R576</f>
        <v/>
      </c>
      <c r="X576" s="9" t="n"/>
      <c r="AM576">
        <f>_xlfn.TEXTJOIN(" + ", TRUE, I576:M576)</f>
        <v/>
      </c>
    </row>
    <row r="577">
      <c r="A577" s="23" t="n">
        <v>564</v>
      </c>
      <c r="B577" s="1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7">
        <f>R577-Q577</f>
        <v/>
      </c>
      <c r="U577" s="7">
        <f>S577-Q577</f>
        <v/>
      </c>
      <c r="V577" s="1" t="n"/>
      <c r="W577" s="9">
        <f>S577-R577</f>
        <v/>
      </c>
      <c r="X577" s="9" t="n"/>
      <c r="AM577">
        <f>_xlfn.TEXTJOIN(" + ", TRUE, I577:M577)</f>
        <v/>
      </c>
    </row>
    <row r="578">
      <c r="A578" s="23" t="n">
        <v>565</v>
      </c>
      <c r="B578" s="1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7">
        <f>R578-Q578</f>
        <v/>
      </c>
      <c r="U578" s="7">
        <f>S578-Q578</f>
        <v/>
      </c>
      <c r="V578" s="1" t="n"/>
      <c r="W578" s="9">
        <f>S578-R578</f>
        <v/>
      </c>
      <c r="X578" s="9" t="n"/>
      <c r="AM578">
        <f>_xlfn.TEXTJOIN(" + ", TRUE, I578:M578)</f>
        <v/>
      </c>
    </row>
    <row r="579">
      <c r="A579" s="23" t="n">
        <v>566</v>
      </c>
      <c r="B579" s="1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7">
        <f>R579-Q579</f>
        <v/>
      </c>
      <c r="U579" s="7">
        <f>S579-Q579</f>
        <v/>
      </c>
      <c r="V579" s="1" t="n"/>
      <c r="W579" s="9">
        <f>S579-R579</f>
        <v/>
      </c>
      <c r="X579" s="9" t="n"/>
      <c r="AM579">
        <f>_xlfn.TEXTJOIN(" + ", TRUE, I579:M579)</f>
        <v/>
      </c>
    </row>
    <row r="580">
      <c r="A580" s="23" t="n">
        <v>567</v>
      </c>
      <c r="B580" s="1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7">
        <f>R580-Q580</f>
        <v/>
      </c>
      <c r="U580" s="7">
        <f>S580-Q580</f>
        <v/>
      </c>
      <c r="V580" s="1" t="n"/>
      <c r="W580" s="9">
        <f>S580-R580</f>
        <v/>
      </c>
      <c r="X580" s="9" t="n"/>
      <c r="AM580">
        <f>_xlfn.TEXTJOIN(" + ", TRUE, I580:M580)</f>
        <v/>
      </c>
    </row>
    <row r="581">
      <c r="A581" s="23" t="n">
        <v>568</v>
      </c>
      <c r="B581" s="1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7">
        <f>R581-Q581</f>
        <v/>
      </c>
      <c r="U581" s="7">
        <f>S581-Q581</f>
        <v/>
      </c>
      <c r="V581" s="1" t="n"/>
      <c r="W581" s="9">
        <f>S581-R581</f>
        <v/>
      </c>
      <c r="X581" s="9" t="n"/>
      <c r="AM581">
        <f>_xlfn.TEXTJOIN(" + ", TRUE, I581:M581)</f>
        <v/>
      </c>
    </row>
    <row r="582">
      <c r="A582" s="23" t="n">
        <v>569</v>
      </c>
      <c r="B582" s="1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7">
        <f>R582-Q582</f>
        <v/>
      </c>
      <c r="U582" s="7">
        <f>S582-Q582</f>
        <v/>
      </c>
      <c r="V582" s="1" t="n"/>
      <c r="W582" s="9">
        <f>S582-R582</f>
        <v/>
      </c>
      <c r="X582" s="9" t="n"/>
      <c r="AM582">
        <f>_xlfn.TEXTJOIN(" + ", TRUE, I582:M582)</f>
        <v/>
      </c>
    </row>
    <row r="583">
      <c r="A583" s="23" t="n">
        <v>570</v>
      </c>
      <c r="B583" s="1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7">
        <f>R583-Q583</f>
        <v/>
      </c>
      <c r="U583" s="7">
        <f>S583-Q583</f>
        <v/>
      </c>
      <c r="V583" s="1" t="n"/>
      <c r="W583" s="9">
        <f>S583-R583</f>
        <v/>
      </c>
      <c r="X583" s="9" t="n"/>
      <c r="AM583">
        <f>_xlfn.TEXTJOIN(" + ", TRUE, I583:M583)</f>
        <v/>
      </c>
    </row>
    <row r="584">
      <c r="A584" s="23" t="n">
        <v>571</v>
      </c>
      <c r="B584" s="1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7">
        <f>R584-Q584</f>
        <v/>
      </c>
      <c r="U584" s="7">
        <f>S584-Q584</f>
        <v/>
      </c>
      <c r="V584" s="1" t="n"/>
      <c r="W584" s="9">
        <f>S584-R584</f>
        <v/>
      </c>
      <c r="X584" s="9" t="n"/>
      <c r="AM584">
        <f>_xlfn.TEXTJOIN(" + ", TRUE, I584:M584)</f>
        <v/>
      </c>
    </row>
    <row r="585">
      <c r="A585" s="23" t="n">
        <v>572</v>
      </c>
      <c r="B585" s="1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7">
        <f>R585-Q585</f>
        <v/>
      </c>
      <c r="U585" s="7">
        <f>S585-Q585</f>
        <v/>
      </c>
      <c r="V585" s="1" t="n"/>
      <c r="W585" s="9">
        <f>S585-R585</f>
        <v/>
      </c>
      <c r="X585" s="9" t="n"/>
      <c r="AM585">
        <f>_xlfn.TEXTJOIN(" + ", TRUE, I585:M585)</f>
        <v/>
      </c>
    </row>
    <row r="586">
      <c r="A586" s="23" t="n">
        <v>573</v>
      </c>
      <c r="B586" s="1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7">
        <f>R586-Q586</f>
        <v/>
      </c>
      <c r="U586" s="7">
        <f>S586-Q586</f>
        <v/>
      </c>
      <c r="V586" s="1" t="n"/>
      <c r="W586" s="9">
        <f>S586-R586</f>
        <v/>
      </c>
      <c r="X586" s="9" t="n"/>
      <c r="AM586">
        <f>_xlfn.TEXTJOIN(" + ", TRUE, I586:M586)</f>
        <v/>
      </c>
    </row>
    <row r="587">
      <c r="A587" s="23" t="n">
        <v>574</v>
      </c>
      <c r="B587" s="1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7">
        <f>R587-Q587</f>
        <v/>
      </c>
      <c r="U587" s="7">
        <f>S587-Q587</f>
        <v/>
      </c>
      <c r="V587" s="1" t="n"/>
      <c r="W587" s="9">
        <f>S587-R587</f>
        <v/>
      </c>
      <c r="X587" s="9" t="n"/>
      <c r="AM587">
        <f>_xlfn.TEXTJOIN(" + ", TRUE, I587:M587)</f>
        <v/>
      </c>
    </row>
    <row r="588">
      <c r="A588" s="23" t="n">
        <v>575</v>
      </c>
      <c r="B588" s="1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7">
        <f>R588-Q588</f>
        <v/>
      </c>
      <c r="U588" s="7">
        <f>S588-Q588</f>
        <v/>
      </c>
      <c r="V588" s="1" t="n"/>
      <c r="W588" s="9">
        <f>S588-R588</f>
        <v/>
      </c>
      <c r="X588" s="9" t="n"/>
      <c r="AM588">
        <f>_xlfn.TEXTJOIN(" + ", TRUE, I588:M588)</f>
        <v/>
      </c>
    </row>
    <row r="589">
      <c r="A589" s="23" t="n">
        <v>576</v>
      </c>
      <c r="B589" s="1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7">
        <f>R589-Q589</f>
        <v/>
      </c>
      <c r="U589" s="7">
        <f>S589-Q589</f>
        <v/>
      </c>
      <c r="V589" s="1" t="n"/>
      <c r="W589" s="9">
        <f>S589-R589</f>
        <v/>
      </c>
      <c r="X589" s="9" t="n"/>
      <c r="AM589">
        <f>_xlfn.TEXTJOIN(" + ", TRUE, I589:M589)</f>
        <v/>
      </c>
    </row>
    <row r="590">
      <c r="A590" s="23" t="n">
        <v>577</v>
      </c>
      <c r="B590" s="1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7">
        <f>R590-Q590</f>
        <v/>
      </c>
      <c r="U590" s="7">
        <f>S590-Q590</f>
        <v/>
      </c>
      <c r="V590" s="1" t="n"/>
      <c r="W590" s="9">
        <f>S590-R590</f>
        <v/>
      </c>
      <c r="X590" s="9" t="n"/>
      <c r="AM590">
        <f>_xlfn.TEXTJOIN(" + ", TRUE, I590:M590)</f>
        <v/>
      </c>
    </row>
    <row r="591">
      <c r="A591" s="23" t="n">
        <v>578</v>
      </c>
      <c r="B591" s="1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7">
        <f>R591-Q591</f>
        <v/>
      </c>
      <c r="U591" s="7">
        <f>S591-Q591</f>
        <v/>
      </c>
      <c r="V591" s="1" t="n"/>
      <c r="W591" s="9">
        <f>S591-R591</f>
        <v/>
      </c>
      <c r="X591" s="9" t="n"/>
      <c r="AM591">
        <f>_xlfn.TEXTJOIN(" + ", TRUE, I591:M591)</f>
        <v/>
      </c>
    </row>
    <row r="592">
      <c r="A592" s="23" t="n">
        <v>579</v>
      </c>
      <c r="B592" s="1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7">
        <f>R592-Q592</f>
        <v/>
      </c>
      <c r="U592" s="7">
        <f>S592-Q592</f>
        <v/>
      </c>
      <c r="V592" s="1" t="n"/>
      <c r="W592" s="9">
        <f>S592-R592</f>
        <v/>
      </c>
      <c r="X592" s="9" t="n"/>
      <c r="AM592">
        <f>_xlfn.TEXTJOIN(" + ", TRUE, I592:M592)</f>
        <v/>
      </c>
    </row>
    <row r="593">
      <c r="A593" s="23" t="n">
        <v>580</v>
      </c>
      <c r="B593" s="1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7">
        <f>R593-Q593</f>
        <v/>
      </c>
      <c r="U593" s="7">
        <f>S593-Q593</f>
        <v/>
      </c>
      <c r="V593" s="1" t="n"/>
      <c r="W593" s="9">
        <f>S593-R593</f>
        <v/>
      </c>
      <c r="X593" s="9" t="n"/>
      <c r="AM593">
        <f>_xlfn.TEXTJOIN(" + ", TRUE, I593:M593)</f>
        <v/>
      </c>
    </row>
    <row r="594">
      <c r="A594" s="23" t="n">
        <v>581</v>
      </c>
      <c r="B594" s="1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7">
        <f>R594-Q594</f>
        <v/>
      </c>
      <c r="U594" s="7">
        <f>S594-Q594</f>
        <v/>
      </c>
      <c r="V594" s="1" t="n"/>
      <c r="W594" s="9">
        <f>S594-R594</f>
        <v/>
      </c>
      <c r="X594" s="9" t="n"/>
      <c r="AM594">
        <f>_xlfn.TEXTJOIN(" + ", TRUE, I594:M594)</f>
        <v/>
      </c>
    </row>
    <row r="595">
      <c r="A595" s="23" t="n">
        <v>582</v>
      </c>
      <c r="B595" s="1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7">
        <f>R595-Q595</f>
        <v/>
      </c>
      <c r="U595" s="7">
        <f>S595-Q595</f>
        <v/>
      </c>
      <c r="V595" s="1" t="n"/>
      <c r="W595" s="9">
        <f>S595-R595</f>
        <v/>
      </c>
      <c r="X595" s="9" t="n"/>
      <c r="AM595">
        <f>_xlfn.TEXTJOIN(" + ", TRUE, I595:M595)</f>
        <v/>
      </c>
    </row>
    <row r="596">
      <c r="A596" s="23" t="n">
        <v>583</v>
      </c>
      <c r="B596" s="1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7">
        <f>R596-Q596</f>
        <v/>
      </c>
      <c r="U596" s="7">
        <f>S596-Q596</f>
        <v/>
      </c>
      <c r="V596" s="1" t="n"/>
      <c r="W596" s="9">
        <f>S596-R596</f>
        <v/>
      </c>
      <c r="X596" s="9" t="n"/>
      <c r="AM596">
        <f>_xlfn.TEXTJOIN(" + ", TRUE, I596:M596)</f>
        <v/>
      </c>
    </row>
    <row r="597">
      <c r="A597" s="23" t="n">
        <v>584</v>
      </c>
      <c r="B597" s="1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7">
        <f>R597-Q597</f>
        <v/>
      </c>
      <c r="U597" s="7">
        <f>S597-Q597</f>
        <v/>
      </c>
      <c r="V597" s="1" t="n"/>
      <c r="W597" s="9">
        <f>S597-R597</f>
        <v/>
      </c>
      <c r="X597" s="9" t="n"/>
      <c r="AM597">
        <f>_xlfn.TEXTJOIN(" + ", TRUE, I597:M597)</f>
        <v/>
      </c>
    </row>
    <row r="598">
      <c r="A598" s="23" t="n">
        <v>585</v>
      </c>
      <c r="B598" s="1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7">
        <f>R598-Q598</f>
        <v/>
      </c>
      <c r="U598" s="7">
        <f>S598-Q598</f>
        <v/>
      </c>
      <c r="V598" s="1" t="n"/>
      <c r="W598" s="9">
        <f>S598-R598</f>
        <v/>
      </c>
      <c r="X598" s="9" t="n"/>
      <c r="AM598">
        <f>_xlfn.TEXTJOIN(" + ", TRUE, I598:M598)</f>
        <v/>
      </c>
    </row>
    <row r="599">
      <c r="A599" s="23" t="n">
        <v>586</v>
      </c>
      <c r="B599" s="1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7">
        <f>R599-Q599</f>
        <v/>
      </c>
      <c r="U599" s="7">
        <f>S599-Q599</f>
        <v/>
      </c>
      <c r="V599" s="1" t="n"/>
      <c r="W599" s="9">
        <f>S599-R599</f>
        <v/>
      </c>
      <c r="X599" s="9" t="n"/>
      <c r="AM599">
        <f>_xlfn.TEXTJOIN(" + ", TRUE, I599:M599)</f>
        <v/>
      </c>
    </row>
    <row r="600">
      <c r="A600" s="23" t="n">
        <v>587</v>
      </c>
      <c r="B600" s="1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7">
        <f>R600-Q600</f>
        <v/>
      </c>
      <c r="U600" s="7">
        <f>S600-Q600</f>
        <v/>
      </c>
      <c r="V600" s="1" t="n"/>
      <c r="W600" s="9">
        <f>S600-R600</f>
        <v/>
      </c>
      <c r="X600" s="9" t="n"/>
      <c r="AM600">
        <f>_xlfn.TEXTJOIN(" + ", TRUE, I600:M600)</f>
        <v/>
      </c>
    </row>
    <row r="601">
      <c r="A601" s="23" t="n">
        <v>588</v>
      </c>
      <c r="B601" s="1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7">
        <f>R601-Q601</f>
        <v/>
      </c>
      <c r="U601" s="7">
        <f>S601-Q601</f>
        <v/>
      </c>
      <c r="V601" s="1" t="n"/>
      <c r="W601" s="9">
        <f>S601-R601</f>
        <v/>
      </c>
      <c r="X601" s="9" t="n"/>
      <c r="AM601">
        <f>_xlfn.TEXTJOIN(" + ", TRUE, I601:M601)</f>
        <v/>
      </c>
    </row>
    <row r="602">
      <c r="A602" s="23" t="n">
        <v>589</v>
      </c>
      <c r="B602" s="1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7">
        <f>R602-Q602</f>
        <v/>
      </c>
      <c r="U602" s="7">
        <f>S602-Q602</f>
        <v/>
      </c>
      <c r="V602" s="1" t="n"/>
      <c r="W602" s="9">
        <f>S602-R602</f>
        <v/>
      </c>
      <c r="X602" s="9" t="n"/>
      <c r="AM602">
        <f>_xlfn.TEXTJOIN(" + ", TRUE, I602:M602)</f>
        <v/>
      </c>
    </row>
    <row r="603">
      <c r="A603" s="23" t="n">
        <v>590</v>
      </c>
      <c r="B603" s="1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7">
        <f>R603-Q603</f>
        <v/>
      </c>
      <c r="U603" s="7">
        <f>S603-Q603</f>
        <v/>
      </c>
      <c r="V603" s="1" t="n"/>
      <c r="W603" s="9">
        <f>S603-R603</f>
        <v/>
      </c>
      <c r="X603" s="9" t="n"/>
      <c r="AM603">
        <f>_xlfn.TEXTJOIN(" + ", TRUE, I603:M603)</f>
        <v/>
      </c>
    </row>
    <row r="604">
      <c r="A604" s="23" t="n">
        <v>591</v>
      </c>
      <c r="B604" s="1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7">
        <f>R604-Q604</f>
        <v/>
      </c>
      <c r="U604" s="7">
        <f>S604-Q604</f>
        <v/>
      </c>
      <c r="V604" s="1" t="n"/>
      <c r="W604" s="9">
        <f>S604-R604</f>
        <v/>
      </c>
      <c r="X604" s="9" t="n"/>
      <c r="AM604">
        <f>_xlfn.TEXTJOIN(" + ", TRUE, I604:M604)</f>
        <v/>
      </c>
    </row>
    <row r="605">
      <c r="A605" s="23" t="n">
        <v>592</v>
      </c>
      <c r="B605" s="1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7">
        <f>R605-Q605</f>
        <v/>
      </c>
      <c r="U605" s="7">
        <f>S605-Q605</f>
        <v/>
      </c>
      <c r="V605" s="1" t="n"/>
      <c r="W605" s="9">
        <f>S605-R605</f>
        <v/>
      </c>
      <c r="X605" s="9" t="n"/>
      <c r="AM605">
        <f>_xlfn.TEXTJOIN(" + ", TRUE, I605:M605)</f>
        <v/>
      </c>
    </row>
    <row r="606">
      <c r="A606" s="23" t="n">
        <v>593</v>
      </c>
      <c r="B606" s="1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7">
        <f>R606-Q606</f>
        <v/>
      </c>
      <c r="U606" s="7">
        <f>S606-Q606</f>
        <v/>
      </c>
      <c r="V606" s="1" t="n"/>
      <c r="W606" s="9">
        <f>S606-R606</f>
        <v/>
      </c>
      <c r="X606" s="9" t="n"/>
      <c r="AM606">
        <f>_xlfn.TEXTJOIN(" + ", TRUE, I606:M606)</f>
        <v/>
      </c>
    </row>
    <row r="607">
      <c r="A607" s="23" t="n">
        <v>594</v>
      </c>
      <c r="B607" s="1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7">
        <f>R607-Q607</f>
        <v/>
      </c>
      <c r="U607" s="7">
        <f>S607-Q607</f>
        <v/>
      </c>
      <c r="V607" s="1" t="n"/>
      <c r="W607" s="9">
        <f>S607-R607</f>
        <v/>
      </c>
      <c r="X607" s="9" t="n"/>
      <c r="AM607">
        <f>_xlfn.TEXTJOIN(" + ", TRUE, I607:M607)</f>
        <v/>
      </c>
    </row>
    <row r="608">
      <c r="A608" s="23" t="n">
        <v>595</v>
      </c>
      <c r="B608" s="1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7">
        <f>R608-Q608</f>
        <v/>
      </c>
      <c r="U608" s="7">
        <f>S608-Q608</f>
        <v/>
      </c>
      <c r="V608" s="1" t="n"/>
      <c r="W608" s="9">
        <f>S608-R608</f>
        <v/>
      </c>
      <c r="X608" s="9" t="n"/>
      <c r="AM608">
        <f>_xlfn.TEXTJOIN(" + ", TRUE, I608:M608)</f>
        <v/>
      </c>
    </row>
    <row r="609">
      <c r="A609" s="23" t="n">
        <v>596</v>
      </c>
      <c r="B609" s="1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7">
        <f>R609-Q609</f>
        <v/>
      </c>
      <c r="U609" s="7">
        <f>S609-Q609</f>
        <v/>
      </c>
      <c r="V609" s="1" t="n"/>
      <c r="W609" s="9">
        <f>S609-R609</f>
        <v/>
      </c>
      <c r="X609" s="9" t="n"/>
      <c r="AM609">
        <f>_xlfn.TEXTJOIN(" + ", TRUE, I609:M609)</f>
        <v/>
      </c>
    </row>
    <row r="610">
      <c r="A610" s="23" t="n">
        <v>597</v>
      </c>
      <c r="B610" s="1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7">
        <f>R610-Q610</f>
        <v/>
      </c>
      <c r="U610" s="7">
        <f>S610-Q610</f>
        <v/>
      </c>
      <c r="V610" s="1" t="n"/>
      <c r="W610" s="9">
        <f>S610-R610</f>
        <v/>
      </c>
      <c r="X610" s="9" t="n"/>
      <c r="AM610">
        <f>_xlfn.TEXTJOIN(" + ", TRUE, I610:M610)</f>
        <v/>
      </c>
    </row>
    <row r="611">
      <c r="A611" s="23" t="n">
        <v>598</v>
      </c>
      <c r="B611" s="1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7">
        <f>R611-Q611</f>
        <v/>
      </c>
      <c r="U611" s="7">
        <f>S611-Q611</f>
        <v/>
      </c>
      <c r="V611" s="1" t="n"/>
      <c r="W611" s="9">
        <f>S611-R611</f>
        <v/>
      </c>
      <c r="X611" s="9" t="n"/>
      <c r="AM611">
        <f>_xlfn.TEXTJOIN(" + ", TRUE, I611:M611)</f>
        <v/>
      </c>
    </row>
    <row r="612">
      <c r="A612" s="23" t="n">
        <v>599</v>
      </c>
      <c r="B612" s="1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7">
        <f>R612-Q612</f>
        <v/>
      </c>
      <c r="U612" s="7">
        <f>S612-Q612</f>
        <v/>
      </c>
      <c r="V612" s="1" t="n"/>
      <c r="W612" s="9">
        <f>S612-R612</f>
        <v/>
      </c>
      <c r="X612" s="9" t="n"/>
      <c r="AM612">
        <f>_xlfn.TEXTJOIN(" + ", TRUE, I612:M612)</f>
        <v/>
      </c>
    </row>
    <row r="613">
      <c r="A613" s="23" t="n">
        <v>600</v>
      </c>
      <c r="B613" s="1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7">
        <f>R613-Q613</f>
        <v/>
      </c>
      <c r="U613" s="7">
        <f>S613-Q613</f>
        <v/>
      </c>
      <c r="V613" s="1" t="n"/>
      <c r="W613" s="9">
        <f>S613-R613</f>
        <v/>
      </c>
      <c r="X613" s="9" t="n"/>
      <c r="AM613">
        <f>_xlfn.TEXTJOIN(" + ", TRUE, I613:M613)</f>
        <v/>
      </c>
    </row>
    <row r="614">
      <c r="A614" s="1" t="n"/>
      <c r="B614" s="23" t="inlineStr">
        <is>
          <t>Total</t>
        </is>
      </c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4" t="n"/>
      <c r="U614" s="6" t="n"/>
      <c r="V614" s="1" t="n"/>
    </row>
  </sheetData>
  <mergeCells count="41">
    <mergeCell ref="Z25:AE25"/>
    <mergeCell ref="AD21:AE21"/>
    <mergeCell ref="AD17:AE17"/>
    <mergeCell ref="AB15:AC15"/>
    <mergeCell ref="C3:S3"/>
    <mergeCell ref="B7:C7"/>
    <mergeCell ref="D9:S9"/>
    <mergeCell ref="AB14:AC14"/>
    <mergeCell ref="AD14:AE14"/>
    <mergeCell ref="D8:S8"/>
    <mergeCell ref="B614:T614"/>
    <mergeCell ref="AC29:AE29"/>
    <mergeCell ref="B11:C11"/>
    <mergeCell ref="Z29:AB29"/>
    <mergeCell ref="C4:S4"/>
    <mergeCell ref="AD15:AE15"/>
    <mergeCell ref="Z22:AA22"/>
    <mergeCell ref="AB22:AC22"/>
    <mergeCell ref="B8:C8"/>
    <mergeCell ref="Z18:AA18"/>
    <mergeCell ref="Z21:AA21"/>
    <mergeCell ref="B6:S6"/>
    <mergeCell ref="D10:S10"/>
    <mergeCell ref="AB21:AC21"/>
    <mergeCell ref="Z28:AB28"/>
    <mergeCell ref="Z17:AA17"/>
    <mergeCell ref="Z24:AE24"/>
    <mergeCell ref="B10:C10"/>
    <mergeCell ref="C2:S2"/>
    <mergeCell ref="Z31:AE31"/>
    <mergeCell ref="Z14:AA14"/>
    <mergeCell ref="B9:C9"/>
    <mergeCell ref="AB17:AC17"/>
    <mergeCell ref="AD22:AE22"/>
    <mergeCell ref="D11:S11"/>
    <mergeCell ref="AC28:AE28"/>
    <mergeCell ref="Z32:AE32"/>
    <mergeCell ref="Z15:AA15"/>
    <mergeCell ref="D7:S7"/>
    <mergeCell ref="AB18:AC18"/>
    <mergeCell ref="AD18:AE18"/>
  </mergeCells>
  <dataValidations count="5">
    <dataValidation sqref="D14:D613" showDropDown="0" showInputMessage="1" showErrorMessage="1" allowBlank="1" type="list">
      <formula1>$AK$7:$AK$13</formula1>
    </dataValidation>
    <dataValidation sqref="I14:M613" showDropDown="0" showInputMessage="1" showErrorMessage="1" allowBlank="1" type="list">
      <formula1>$AJ$7:$AJ$307</formula1>
    </dataValidation>
    <dataValidation sqref="G14:G613" showDropDown="0" showInputMessage="1" showErrorMessage="1" allowBlank="1" type="list">
      <formula1>$AL$7:$AL$9</formula1>
    </dataValidation>
    <dataValidation sqref="V14:V613" showDropDown="0" showInputMessage="1" showErrorMessage="1" allowBlank="1" type="list">
      <formula1>$AI$7:$AI$8</formula1>
    </dataValidation>
    <dataValidation sqref="H14:H613" showDropDown="0" showInputMessage="1" showErrorMessage="1" allowBlank="1" type="list">
      <formula1>$AH$7:$AH$15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M614"/>
  <sheetViews>
    <sheetView tabSelected="1" zoomScale="70" zoomScaleNormal="70" workbookViewId="0">
      <selection activeCell="AQ14" sqref="AQ14"/>
    </sheetView>
  </sheetViews>
  <sheetFormatPr baseColWidth="10" defaultRowHeight="15"/>
  <cols>
    <col width="5.140625" bestFit="1" customWidth="1" min="1" max="1"/>
    <col width="13.42578125" customWidth="1" min="2" max="2"/>
    <col width="32.7109375" customWidth="1" min="3" max="3"/>
    <col width="19.85546875" bestFit="1" customWidth="1" min="4" max="4"/>
    <col width="25.85546875" bestFit="1" customWidth="1" min="5" max="5"/>
    <col width="23.28515625" customWidth="1" min="6" max="6"/>
    <col width="21.28515625" customWidth="1" min="7" max="8"/>
    <col width="19" bestFit="1" customWidth="1" min="9" max="9"/>
    <col width="19.7109375" bestFit="1" customWidth="1" min="10" max="11"/>
    <col width="19.7109375" customWidth="1" min="12" max="16"/>
    <col width="14.42578125" customWidth="1" min="17" max="17"/>
    <col width="13.7109375" bestFit="1" customWidth="1" min="18" max="18"/>
    <col width="12.5703125" bestFit="1" customWidth="1" min="19" max="19"/>
    <col width="13.7109375" bestFit="1" customWidth="1" min="20" max="20"/>
    <col width="10.5703125" customWidth="1" min="21" max="21"/>
    <col width="12.5703125" customWidth="1" min="22" max="22"/>
    <col hidden="1" width="11.42578125" customWidth="1" min="23" max="23"/>
    <col width="11.42578125" customWidth="1" min="24" max="24"/>
    <col width="17" customWidth="1" min="26" max="26"/>
    <col width="14" customWidth="1" min="27" max="27"/>
    <col width="12.7109375" customWidth="1" min="30" max="30"/>
    <col width="13" customWidth="1" min="31" max="31"/>
    <col hidden="1" width="17" customWidth="1" min="34" max="35"/>
    <col hidden="1" width="58.5703125" customWidth="1" min="36" max="36"/>
    <col hidden="1" width="11.42578125" customWidth="1" min="37" max="38"/>
    <col hidden="1" width="154.28515625" customWidth="1" min="39" max="39"/>
    <col width="11.42578125" customWidth="1" min="40" max="40"/>
  </cols>
  <sheetData>
    <row r="2">
      <c r="C2" s="47" t="inlineStr">
        <is>
          <t>MINISTERIO DE SALUD PÚBLICA Y ASISTENCIA SOCIAL</t>
        </is>
      </c>
    </row>
    <row r="3">
      <c r="C3" s="47">
        <f>'Q1'!C3</f>
        <v/>
      </c>
    </row>
    <row r="4">
      <c r="C4" s="47" t="inlineStr">
        <is>
          <t>Hoja de Control de Quirófanos</t>
        </is>
      </c>
    </row>
    <row r="5"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</row>
    <row r="6">
      <c r="B6" s="48" t="inlineStr">
        <is>
          <t>QUIRÓFANO #2</t>
        </is>
      </c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4" t="n"/>
      <c r="AH6" s="14" t="inlineStr">
        <is>
          <t>Formato</t>
        </is>
      </c>
      <c r="AI6" s="14" t="inlineStr">
        <is>
          <t>Estado_Cirugia</t>
        </is>
      </c>
      <c r="AJ6" s="14" t="inlineStr">
        <is>
          <t>Procedimientos</t>
        </is>
      </c>
      <c r="AK6" s="14" t="inlineStr">
        <is>
          <t>Rangos</t>
        </is>
      </c>
      <c r="AL6" s="14" t="inlineStr">
        <is>
          <t>Procedencia</t>
        </is>
      </c>
    </row>
    <row r="7">
      <c r="B7" s="36" t="inlineStr">
        <is>
          <t>Encargado</t>
        </is>
      </c>
      <c r="C7" s="64" t="n"/>
      <c r="D7" s="51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AH7" t="inlineStr">
        <is>
          <t>Abierta</t>
        </is>
      </c>
      <c r="AI7" t="inlineStr">
        <is>
          <t>Finalizada</t>
        </is>
      </c>
      <c r="AJ7" s="1" t="inlineStr">
        <is>
          <t>Cirugía Cardiovascular - Angioplastia coronaria</t>
        </is>
      </c>
      <c r="AK7" t="inlineStr">
        <is>
          <t>Especialista</t>
        </is>
      </c>
      <c r="AL7" t="inlineStr">
        <is>
          <t>Emergencia</t>
        </is>
      </c>
    </row>
    <row r="8">
      <c r="B8" s="36" t="inlineStr">
        <is>
          <t>Uso</t>
        </is>
      </c>
      <c r="C8" s="64" t="n"/>
      <c r="D8" s="51" t="n"/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  <c r="N8" s="63" t="n"/>
      <c r="O8" s="63" t="n"/>
      <c r="P8" s="63" t="n"/>
      <c r="Q8" s="63" t="n"/>
      <c r="R8" s="63" t="n"/>
      <c r="S8" s="63" t="n"/>
      <c r="AH8" t="inlineStr">
        <is>
          <t>Videolaparoscópica</t>
        </is>
      </c>
      <c r="AI8" t="inlineStr">
        <is>
          <t>Cancelada</t>
        </is>
      </c>
      <c r="AJ8" s="1" t="inlineStr">
        <is>
          <t>Cirugía Cardiovascular - Bypass coronario</t>
        </is>
      </c>
      <c r="AK8" t="inlineStr">
        <is>
          <t>Médico General</t>
        </is>
      </c>
      <c r="AL8" t="inlineStr">
        <is>
          <t>Electiva</t>
        </is>
      </c>
    </row>
    <row r="9">
      <c r="B9" s="36" t="inlineStr">
        <is>
          <t>Hora de apertura de quirófano</t>
        </is>
      </c>
      <c r="C9" s="64" t="n"/>
      <c r="D9" s="49" t="n"/>
      <c r="E9" s="63" t="n"/>
      <c r="F9" s="63" t="n"/>
      <c r="G9" s="63" t="n"/>
      <c r="H9" s="63" t="n"/>
      <c r="I9" s="63" t="n"/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AH9" t="inlineStr">
        <is>
          <t>Endoscópica</t>
        </is>
      </c>
      <c r="AJ9" s="1" t="inlineStr">
        <is>
          <t>Cirugía Cardiovascular - Cirugía de aorta torácica</t>
        </is>
      </c>
      <c r="AK9" t="inlineStr">
        <is>
          <t>R1</t>
        </is>
      </c>
      <c r="AL9" t="inlineStr">
        <is>
          <t>Hospital de día</t>
        </is>
      </c>
    </row>
    <row r="10">
      <c r="B10" s="36" t="inlineStr">
        <is>
          <t>Hora de cierre de quirófano</t>
        </is>
      </c>
      <c r="C10" s="64" t="n"/>
      <c r="D10" s="49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AH10" t="inlineStr">
        <is>
          <t>Artroscópica</t>
        </is>
      </c>
      <c r="AJ10" s="1" t="inlineStr">
        <is>
          <t>Cirugía Cardiovascular - Cirugía vascular periférica</t>
        </is>
      </c>
      <c r="AK10" t="inlineStr">
        <is>
          <t>R2</t>
        </is>
      </c>
    </row>
    <row r="11">
      <c r="B11" s="36" t="inlineStr">
        <is>
          <t>Cantidad de días en que está abierto</t>
        </is>
      </c>
      <c r="C11" s="64" t="n"/>
      <c r="D11" s="21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AH11" t="inlineStr">
        <is>
          <t>Percutánea</t>
        </is>
      </c>
      <c r="AJ11" s="1" t="inlineStr">
        <is>
          <t>Cirugía Cardiovascular - Endarterectomía carotídea</t>
        </is>
      </c>
      <c r="AK11" t="inlineStr">
        <is>
          <t>R3</t>
        </is>
      </c>
    </row>
    <row r="12">
      <c r="AH12" t="inlineStr">
        <is>
          <t>Endourológica</t>
        </is>
      </c>
      <c r="AJ12" s="1" t="inlineStr">
        <is>
          <t>Cirugía Cardiovascular - Implantación de marcapasos</t>
        </is>
      </c>
      <c r="AK12" t="inlineStr">
        <is>
          <t>R3</t>
        </is>
      </c>
    </row>
    <row r="13" ht="71.25" customHeight="1">
      <c r="A13" s="3" t="inlineStr">
        <is>
          <t>No</t>
        </is>
      </c>
      <c r="B13" s="3" t="inlineStr">
        <is>
          <t>Fecha</t>
        </is>
      </c>
      <c r="C13" s="3" t="inlineStr">
        <is>
          <t>Nombre del Paciente</t>
        </is>
      </c>
      <c r="D13" s="3" t="inlineStr">
        <is>
          <t>Rango del Médico</t>
        </is>
      </c>
      <c r="E13" s="3" t="inlineStr">
        <is>
          <t>Especialidad del Médico</t>
        </is>
      </c>
      <c r="F13" s="3" t="inlineStr">
        <is>
          <t>Nombre del Médico</t>
        </is>
      </c>
      <c r="G13" s="3" t="inlineStr">
        <is>
          <t>Procedencia paciente</t>
        </is>
      </c>
      <c r="H13" s="4" t="inlineStr">
        <is>
          <t>Formato de Intervención</t>
        </is>
      </c>
      <c r="I13" s="20" t="inlineStr">
        <is>
          <t>Procedimiento #1 (Principal)</t>
        </is>
      </c>
      <c r="J13" s="3" t="inlineStr">
        <is>
          <t>Procedimiento #2</t>
        </is>
      </c>
      <c r="K13" s="3" t="inlineStr">
        <is>
          <t>Procedimiento #3</t>
        </is>
      </c>
      <c r="L13" s="3" t="inlineStr">
        <is>
          <t>Procedimiento #4</t>
        </is>
      </c>
      <c r="M13" s="3" t="inlineStr">
        <is>
          <t>Procedimiento #5</t>
        </is>
      </c>
      <c r="N13" s="4" t="inlineStr">
        <is>
          <t>Área del cuerpo intervenida</t>
        </is>
      </c>
      <c r="O13" s="4" t="inlineStr">
        <is>
          <t>Observaciones / Comentarios</t>
        </is>
      </c>
      <c r="P13" s="4" t="inlineStr">
        <is>
          <t>Hora de inicio de anestesia</t>
        </is>
      </c>
      <c r="Q13" s="4" t="inlineStr">
        <is>
          <t>Hora de inicio de intervención (es)</t>
        </is>
      </c>
      <c r="R13" s="5" t="inlineStr">
        <is>
          <t>Hora de finalización de intervención quirúrgica</t>
        </is>
      </c>
      <c r="S13" s="5" t="inlineStr">
        <is>
          <t>Hora de finalización limpieza y preparación de quirófano</t>
        </is>
      </c>
      <c r="T13" s="5" t="inlineStr">
        <is>
          <t>Tiempo Intervención</t>
        </is>
      </c>
      <c r="U13" s="5" t="inlineStr">
        <is>
          <t>Tiempo Usado Quirófano</t>
        </is>
      </c>
      <c r="V13" s="5" t="inlineStr">
        <is>
          <t>Estado</t>
        </is>
      </c>
      <c r="W13" s="8" t="n"/>
      <c r="X13" s="8" t="n"/>
      <c r="AH13" t="inlineStr">
        <is>
          <t>Vaginal</t>
        </is>
      </c>
      <c r="AJ13" s="1" t="inlineStr">
        <is>
          <t>Cirugía Cardiovascular - Pericardiocentesis quirúrgica</t>
        </is>
      </c>
      <c r="AK13" t="inlineStr">
        <is>
          <t>R4</t>
        </is>
      </c>
      <c r="AM13" t="inlineStr">
        <is>
          <t>TOTAL_PROCEDIMIENTOS</t>
        </is>
      </c>
    </row>
    <row r="14" ht="15.75" customHeight="1">
      <c r="A14" s="23" t="n"/>
      <c r="B14" s="10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7" t="n"/>
      <c r="Q14" s="7" t="n"/>
      <c r="R14" s="7" t="n"/>
      <c r="S14" s="7" t="n"/>
      <c r="T14" s="7">
        <f>R14-Q14</f>
        <v/>
      </c>
      <c r="U14" s="7">
        <f>S14-Q14</f>
        <v/>
      </c>
      <c r="V14" s="1" t="n"/>
      <c r="W14" s="9">
        <f>S14-R14</f>
        <v/>
      </c>
      <c r="X14" s="9" t="n"/>
      <c r="Z14" s="26" t="inlineStr">
        <is>
          <t>Horas Activo</t>
        </is>
      </c>
      <c r="AA14" s="64" t="n"/>
      <c r="AB14" s="26" t="inlineStr">
        <is>
          <t>% de Uso Periodo</t>
        </is>
      </c>
      <c r="AC14" s="64" t="n"/>
      <c r="AD14" s="26" t="inlineStr">
        <is>
          <t>Tasa de Cancelación</t>
        </is>
      </c>
      <c r="AE14" s="64" t="n"/>
      <c r="AH14" t="inlineStr">
        <is>
          <t>Mixta</t>
        </is>
      </c>
      <c r="AJ14" s="1" t="inlineStr">
        <is>
          <t>Cirugía Cardiovascular - Reemplazo valvular</t>
        </is>
      </c>
      <c r="AM14">
        <f>_xlfn.TEXTJOIN(" + ", TRUE, I14:M14)</f>
        <v/>
      </c>
    </row>
    <row r="15" ht="15.75" customHeight="1">
      <c r="A15" s="23" t="n"/>
      <c r="B15" s="10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7" t="n"/>
      <c r="R15" s="7" t="n"/>
      <c r="S15" s="7" t="n"/>
      <c r="T15" s="7">
        <f>R15-Q15</f>
        <v/>
      </c>
      <c r="U15" s="7">
        <f>S15-Q15</f>
        <v/>
      </c>
      <c r="V15" s="1" t="n"/>
      <c r="W15" s="9">
        <f>S15-R15</f>
        <v/>
      </c>
      <c r="X15" s="9" t="n"/>
      <c r="Z15" s="35">
        <f>D10-D9</f>
        <v/>
      </c>
      <c r="AA15" s="64" t="n"/>
      <c r="AB15" s="53">
        <f>SUMIF(V14:V613,"Finalizada",U14:U613)/Z18</f>
        <v/>
      </c>
      <c r="AC15" s="64" t="n"/>
      <c r="AD15" s="40">
        <f>AB22/(Z22+AB22)</f>
        <v/>
      </c>
      <c r="AE15" s="64" t="n"/>
      <c r="AH15" t="inlineStr">
        <is>
          <t>Otro</t>
        </is>
      </c>
      <c r="AJ15" s="1" t="inlineStr">
        <is>
          <t>Cirugía Cardiovascular - Reparación de aneurismas</t>
        </is>
      </c>
      <c r="AM15">
        <f>_xlfn.TEXTJOIN(" + ", TRUE, I15:M15)</f>
        <v/>
      </c>
    </row>
    <row r="16" ht="15.75" customHeight="1">
      <c r="A16" s="23" t="n"/>
      <c r="B16" s="10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7" t="n"/>
      <c r="R16" s="7" t="n"/>
      <c r="S16" s="7" t="n"/>
      <c r="T16" s="7">
        <f>R16-Q16</f>
        <v/>
      </c>
      <c r="U16" s="7">
        <f>S16-Q16</f>
        <v/>
      </c>
      <c r="V16" s="1" t="n"/>
      <c r="W16" s="9">
        <f>S16-R16</f>
        <v/>
      </c>
      <c r="X16" s="9" t="n"/>
      <c r="Z16" s="16" t="n"/>
      <c r="AA16" s="16" t="n"/>
      <c r="AB16" s="16" t="n"/>
      <c r="AC16" s="16" t="n"/>
      <c r="AD16" s="16" t="n"/>
      <c r="AE16" s="16" t="n"/>
      <c r="AJ16" s="1" t="inlineStr">
        <is>
          <t>Cirugía Cardiovascular - Reparación valvular</t>
        </is>
      </c>
      <c r="AM16">
        <f>_xlfn.TEXTJOIN(" + ", TRUE, I16:M16)</f>
        <v/>
      </c>
    </row>
    <row r="17" ht="15.75" customHeight="1">
      <c r="A17" s="23" t="n"/>
      <c r="B17" s="1" t="n"/>
      <c r="C17" s="23" t="n"/>
      <c r="D17" s="23" t="n"/>
      <c r="E17" s="23" t="n"/>
      <c r="F17" s="23" t="n"/>
      <c r="G17" s="1" t="n"/>
      <c r="H17" s="1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7" t="n"/>
      <c r="R17" s="7" t="n"/>
      <c r="S17" s="7" t="n"/>
      <c r="T17" s="7">
        <f>R17-Q17</f>
        <v/>
      </c>
      <c r="U17" s="7">
        <f>S17-Q17</f>
        <v/>
      </c>
      <c r="V17" s="1" t="n"/>
      <c r="W17" s="9">
        <f>S17-R17</f>
        <v/>
      </c>
      <c r="X17" s="9" t="n"/>
      <c r="Z17" s="26" t="inlineStr">
        <is>
          <t>Horas Activo Periodo</t>
        </is>
      </c>
      <c r="AA17" s="64" t="n"/>
      <c r="AB17" s="37" t="n"/>
      <c r="AD17" s="37" t="n"/>
      <c r="AJ17" s="1" t="inlineStr">
        <is>
          <t>Cirugía Cardiovascular - Trasplante cardíaco</t>
        </is>
      </c>
      <c r="AM17">
        <f>_xlfn.TEXTJOIN(" + ", TRUE, I17:M17)</f>
        <v/>
      </c>
    </row>
    <row r="18" ht="15.75" customHeight="1">
      <c r="A18" s="23" t="n"/>
      <c r="B18" s="1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7" t="n"/>
      <c r="R18" s="7" t="n"/>
      <c r="S18" s="7" t="n"/>
      <c r="T18" s="7">
        <f>R18-Q18</f>
        <v/>
      </c>
      <c r="U18" s="7">
        <f>S18-Q18</f>
        <v/>
      </c>
      <c r="V18" s="1" t="n"/>
      <c r="W18" s="9">
        <f>S18-R18</f>
        <v/>
      </c>
      <c r="X18" s="9" t="n"/>
      <c r="Z18" s="38">
        <f>(D10-D9)*D11</f>
        <v/>
      </c>
      <c r="AA18" s="64" t="n"/>
      <c r="AB18" s="39" t="n"/>
      <c r="AD18" s="39" t="n"/>
      <c r="AJ18" s="1" t="inlineStr">
        <is>
          <t>Cirugía de Emergencia - Amputación de urgencia</t>
        </is>
      </c>
      <c r="AM18">
        <f>_xlfn.TEXTJOIN(" + ", TRUE, I18:M18)</f>
        <v/>
      </c>
    </row>
    <row r="19" ht="15.75" customHeight="1">
      <c r="A19" s="23" t="n"/>
      <c r="B19" s="1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7">
        <f>R19-Q19</f>
        <v/>
      </c>
      <c r="U19" s="7">
        <f>S19-Q19</f>
        <v/>
      </c>
      <c r="V19" s="1" t="n"/>
      <c r="W19" s="9">
        <f>S19-R19</f>
        <v/>
      </c>
      <c r="X19" s="9" t="n"/>
      <c r="Z19" s="16" t="n"/>
      <c r="AA19" s="16" t="n"/>
      <c r="AB19" s="16" t="n"/>
      <c r="AC19" s="16" t="n"/>
      <c r="AD19" s="16" t="n"/>
      <c r="AE19" s="16" t="n"/>
      <c r="AJ19" s="1" t="inlineStr">
        <is>
          <t>Cirugía de Emergencia - Cesárea de emergencia</t>
        </is>
      </c>
      <c r="AM19">
        <f>_xlfn.TEXTJOIN(" + ", TRUE, I19:M19)</f>
        <v/>
      </c>
    </row>
    <row r="20" ht="15.75" customHeight="1">
      <c r="A20" s="23" t="n"/>
      <c r="B20" s="1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7">
        <f>R20-Q20</f>
        <v/>
      </c>
      <c r="U20" s="7">
        <f>S20-Q20</f>
        <v/>
      </c>
      <c r="V20" s="1" t="n"/>
      <c r="W20" s="9">
        <f>S20-R20</f>
        <v/>
      </c>
      <c r="X20" s="9" t="n"/>
      <c r="Z20" s="16" t="n"/>
      <c r="AA20" s="16" t="n"/>
      <c r="AB20" s="16" t="n"/>
      <c r="AC20" s="16" t="n"/>
      <c r="AD20" s="16" t="n"/>
      <c r="AE20" s="16" t="n"/>
      <c r="AJ20" s="1" t="inlineStr">
        <is>
          <t>Cirugía de Emergencia - Control de daños</t>
        </is>
      </c>
      <c r="AM20">
        <f>_xlfn.TEXTJOIN(" + ", TRUE, I20:M20)</f>
        <v/>
      </c>
    </row>
    <row r="21" ht="15.75" customHeight="1">
      <c r="A21" s="23" t="n"/>
      <c r="B21" s="1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7">
        <f>R21-Q21</f>
        <v/>
      </c>
      <c r="U21" s="7">
        <f>S21-Q21</f>
        <v/>
      </c>
      <c r="V21" s="1" t="n"/>
      <c r="W21" s="9">
        <f>S21-R21</f>
        <v/>
      </c>
      <c r="X21" s="9" t="n"/>
      <c r="Z21" s="24" t="inlineStr">
        <is>
          <t>Finalizadas</t>
        </is>
      </c>
      <c r="AA21" s="64" t="n"/>
      <c r="AB21" s="25" t="inlineStr">
        <is>
          <t>Canceladas</t>
        </is>
      </c>
      <c r="AC21" s="64" t="n"/>
      <c r="AD21" s="43" t="n"/>
      <c r="AJ21" s="1" t="inlineStr">
        <is>
          <t>Cirugía de Emergencia - Control de hemorragias</t>
        </is>
      </c>
      <c r="AM21">
        <f>_xlfn.TEXTJOIN(" + ", TRUE, I21:M21)</f>
        <v/>
      </c>
    </row>
    <row r="22" ht="15.75" customHeight="1">
      <c r="A22" s="23" t="n"/>
      <c r="B22" s="1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7">
        <f>R22-Q22</f>
        <v/>
      </c>
      <c r="U22" s="7">
        <f>S22-Q22</f>
        <v/>
      </c>
      <c r="V22" s="1" t="n"/>
      <c r="W22" s="9">
        <f>S22-R22</f>
        <v/>
      </c>
      <c r="X22" s="9" t="n"/>
      <c r="Z22" s="44">
        <f>COUNTIF($V$14:$V$613,"Finalizada")</f>
        <v/>
      </c>
      <c r="AA22" s="64" t="n"/>
      <c r="AB22" s="44">
        <f>COUNTIF($V$14:$V$613,"Cancelada")</f>
        <v/>
      </c>
      <c r="AC22" s="64" t="n"/>
      <c r="AD22" s="43" t="n"/>
      <c r="AJ22" s="1" t="inlineStr">
        <is>
          <t>Cirugía de Emergencia - Craniectomía descompresiva</t>
        </is>
      </c>
      <c r="AM22">
        <f>_xlfn.TEXTJOIN(" + ", TRUE, I22:M22)</f>
        <v/>
      </c>
    </row>
    <row r="23" ht="15.75" customHeight="1">
      <c r="A23" s="23" t="n"/>
      <c r="B23" s="1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7">
        <f>R23-Q23</f>
        <v/>
      </c>
      <c r="U23" s="7">
        <f>S23-Q23</f>
        <v/>
      </c>
      <c r="V23" s="1" t="n"/>
      <c r="W23" s="9">
        <f>S23-R23</f>
        <v/>
      </c>
      <c r="X23" s="9" t="n"/>
      <c r="Z23" s="16" t="n"/>
      <c r="AA23" s="16" t="n"/>
      <c r="AB23" s="16" t="n"/>
      <c r="AC23" s="16" t="n"/>
      <c r="AD23" s="16" t="n"/>
      <c r="AE23" s="16" t="n"/>
      <c r="AJ23" s="1" t="inlineStr">
        <is>
          <t>Cirugía de Emergencia - Desbridamiento de tejidos infectados</t>
        </is>
      </c>
      <c r="AM23">
        <f>_xlfn.TEXTJOIN(" + ", TRUE, I23:M23)</f>
        <v/>
      </c>
    </row>
    <row r="24" ht="15.75" customHeight="1">
      <c r="A24" s="23" t="n"/>
      <c r="B24" s="1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7">
        <f>R24-Q24</f>
        <v/>
      </c>
      <c r="U24" s="7">
        <f>S24-Q24</f>
        <v/>
      </c>
      <c r="V24" s="1" t="n"/>
      <c r="W24" s="9">
        <f>S24-R24</f>
        <v/>
      </c>
      <c r="X24" s="9" t="n"/>
      <c r="Z24" s="34" t="inlineStr">
        <is>
          <t>Total</t>
        </is>
      </c>
      <c r="AA24" s="63" t="n"/>
      <c r="AB24" s="63" t="n"/>
      <c r="AC24" s="63" t="n"/>
      <c r="AD24" s="63" t="n"/>
      <c r="AE24" s="64" t="n"/>
      <c r="AJ24" s="1" t="inlineStr">
        <is>
          <t>Cirugía de Emergencia - Drenaje de abscesos profundos</t>
        </is>
      </c>
      <c r="AM24">
        <f>_xlfn.TEXTJOIN(" + ", TRUE, I24:M24)</f>
        <v/>
      </c>
    </row>
    <row r="25" ht="15.75" customHeight="1">
      <c r="A25" s="23" t="n"/>
      <c r="B25" s="1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7">
        <f>R25-Q25</f>
        <v/>
      </c>
      <c r="U25" s="7">
        <f>S25-Q25</f>
        <v/>
      </c>
      <c r="V25" s="1" t="n"/>
      <c r="W25" s="9">
        <f>S25-R25</f>
        <v/>
      </c>
      <c r="X25" s="9" t="n"/>
      <c r="Y25" t="inlineStr">
        <is>
          <t>                                                                                                                                                                                                                         </t>
        </is>
      </c>
      <c r="Z25" s="42">
        <f>COUNTA(V14:V613)</f>
        <v/>
      </c>
      <c r="AA25" s="63" t="n"/>
      <c r="AB25" s="63" t="n"/>
      <c r="AC25" s="63" t="n"/>
      <c r="AD25" s="63" t="n"/>
      <c r="AE25" s="64" t="n"/>
      <c r="AJ25" s="1" t="inlineStr">
        <is>
          <t>Cirugía de Emergencia - Fasciotomía urgente</t>
        </is>
      </c>
      <c r="AM25">
        <f>_xlfn.TEXTJOIN(" + ", TRUE, I25:M25)</f>
        <v/>
      </c>
    </row>
    <row r="26" ht="15.75" customHeight="1">
      <c r="A26" s="23" t="n"/>
      <c r="B26" s="1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7">
        <f>R26-Q26</f>
        <v/>
      </c>
      <c r="U26" s="7">
        <f>S26-Q26</f>
        <v/>
      </c>
      <c r="V26" s="1" t="n"/>
      <c r="W26" s="9">
        <f>S26-R26</f>
        <v/>
      </c>
      <c r="X26" s="9" t="n"/>
      <c r="Z26" s="16" t="n"/>
      <c r="AA26" s="16" t="n"/>
      <c r="AB26" s="16" t="n"/>
      <c r="AC26" s="16" t="n"/>
      <c r="AD26" s="16" t="n"/>
      <c r="AE26" s="16" t="n"/>
      <c r="AJ26" s="1" t="inlineStr">
        <is>
          <t>Cirugía de Emergencia - Laparotomía de urgencia</t>
        </is>
      </c>
      <c r="AM26">
        <f>_xlfn.TEXTJOIN(" + ", TRUE, I26:M26)</f>
        <v/>
      </c>
    </row>
    <row r="27" ht="15.75" customHeight="1">
      <c r="A27" s="23" t="n"/>
      <c r="B27" s="1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7">
        <f>R27-Q27</f>
        <v/>
      </c>
      <c r="U27" s="7">
        <f>S27-Q27</f>
        <v/>
      </c>
      <c r="V27" s="1" t="n"/>
      <c r="W27" s="9">
        <f>S27-R27</f>
        <v/>
      </c>
      <c r="X27" s="9" t="n"/>
      <c r="Z27" s="16" t="n"/>
      <c r="AA27" s="16" t="n"/>
      <c r="AB27" s="16" t="n"/>
      <c r="AC27" s="16" t="n"/>
      <c r="AD27" s="16" t="n"/>
      <c r="AE27" s="16" t="n"/>
      <c r="AJ27" s="1" t="inlineStr">
        <is>
          <t>Cirugía de Emergencia - Toracotomía de emergencia</t>
        </is>
      </c>
      <c r="AM27">
        <f>_xlfn.TEXTJOIN(" + ", TRUE, I27:M27)</f>
        <v/>
      </c>
    </row>
    <row r="28" ht="15.75" customHeight="1">
      <c r="A28" s="23" t="n"/>
      <c r="B28" s="1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7">
        <f>R28-Q28</f>
        <v/>
      </c>
      <c r="U28" s="7">
        <f>S28-Q28</f>
        <v/>
      </c>
      <c r="V28" s="1" t="n"/>
      <c r="W28" s="9">
        <f>S28-R28</f>
        <v/>
      </c>
      <c r="X28" s="9" t="n"/>
      <c r="Z28" s="41" t="inlineStr">
        <is>
          <t>Tiempo Promedio Intervención</t>
        </is>
      </c>
      <c r="AA28" s="63" t="n"/>
      <c r="AB28" s="64" t="n"/>
      <c r="AC28" s="41" t="inlineStr">
        <is>
          <t>Tiempo Promedio Limpieza</t>
        </is>
      </c>
      <c r="AD28" s="63" t="n"/>
      <c r="AE28" s="64" t="n"/>
      <c r="AJ28" s="1" t="inlineStr">
        <is>
          <t>Cirugía General -  (VAC) Cambio de terapia de presión negativa</t>
        </is>
      </c>
      <c r="AM28">
        <f>_xlfn.TEXTJOIN(" + ", TRUE, I28:M28)</f>
        <v/>
      </c>
    </row>
    <row r="29" ht="15.75" customHeight="1">
      <c r="A29" s="23" t="n"/>
      <c r="B29" s="1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7">
        <f>R29-Q29</f>
        <v/>
      </c>
      <c r="U29" s="7">
        <f>S29-Q29</f>
        <v/>
      </c>
      <c r="V29" s="1" t="n"/>
      <c r="W29" s="9">
        <f>S29-R29</f>
        <v/>
      </c>
      <c r="X29" s="9" t="n"/>
      <c r="Z29" s="35">
        <f>AVERAGEIF(T14:T613,"&lt;&gt;0")</f>
        <v/>
      </c>
      <c r="AA29" s="63" t="n"/>
      <c r="AB29" s="64" t="n"/>
      <c r="AC29" s="35">
        <f>AVERAGEIF(W14:W613,"&lt;&gt;0")</f>
        <v/>
      </c>
      <c r="AD29" s="63" t="n"/>
      <c r="AE29" s="64" t="n"/>
      <c r="AJ29" s="1" t="inlineStr">
        <is>
          <t>Cirugía General - (VAC) Colocación de terapia de presión negativa</t>
        </is>
      </c>
      <c r="AM29">
        <f>_xlfn.TEXTJOIN(" + ", TRUE, I29:M29)</f>
        <v/>
      </c>
    </row>
    <row r="30" ht="15.75" customHeight="1">
      <c r="A30" s="23" t="n"/>
      <c r="B30" s="1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7">
        <f>R30-Q30</f>
        <v/>
      </c>
      <c r="U30" s="7">
        <f>S30-Q30</f>
        <v/>
      </c>
      <c r="V30" s="1" t="n"/>
      <c r="W30" s="9">
        <f>S30-R30</f>
        <v/>
      </c>
      <c r="X30" s="9" t="n"/>
      <c r="Z30" s="16" t="n"/>
      <c r="AA30" s="16" t="n"/>
      <c r="AB30" s="16" t="n"/>
      <c r="AC30" s="16" t="n"/>
      <c r="AD30" s="16" t="n"/>
      <c r="AE30" s="16" t="n"/>
      <c r="AJ30" s="1" t="inlineStr">
        <is>
          <t xml:space="preserve">Cirugía General - (VAC) Retiro de terapia de presión negativa </t>
        </is>
      </c>
      <c r="AM30">
        <f>_xlfn.TEXTJOIN(" + ", TRUE, I30:M30)</f>
        <v/>
      </c>
    </row>
    <row r="31" ht="15.75" customHeight="1">
      <c r="A31" s="23" t="n"/>
      <c r="B31" s="1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7">
        <f>R31-Q31</f>
        <v/>
      </c>
      <c r="U31" s="7">
        <f>S31-Q31</f>
        <v/>
      </c>
      <c r="V31" s="1" t="n"/>
      <c r="W31" s="9">
        <f>S31-R31</f>
        <v/>
      </c>
      <c r="X31" s="9" t="n"/>
      <c r="Z31" s="41" t="inlineStr">
        <is>
          <t>Tiempo Promedio Proceso Completo</t>
        </is>
      </c>
      <c r="AA31" s="63" t="n"/>
      <c r="AB31" s="63" t="n"/>
      <c r="AC31" s="63" t="n"/>
      <c r="AD31" s="63" t="n"/>
      <c r="AE31" s="64" t="n"/>
      <c r="AJ31" s="1" t="inlineStr">
        <is>
          <t>Cirugía General - Adhesiolisis</t>
        </is>
      </c>
      <c r="AM31">
        <f>_xlfn.TEXTJOIN(" + ", TRUE, I31:M31)</f>
        <v/>
      </c>
    </row>
    <row r="32" ht="15.75" customHeight="1">
      <c r="A32" s="23" t="n"/>
      <c r="B32" s="1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7">
        <f>R32-Q32</f>
        <v/>
      </c>
      <c r="U32" s="7">
        <f>S32-Q32</f>
        <v/>
      </c>
      <c r="V32" s="1" t="n"/>
      <c r="W32" s="9">
        <f>S32-R32</f>
        <v/>
      </c>
      <c r="X32" s="9" t="n"/>
      <c r="Z32" s="35">
        <f>AVERAGEIF(U14:U613,"&lt;&gt;0")</f>
        <v/>
      </c>
      <c r="AA32" s="63" t="n"/>
      <c r="AB32" s="63" t="n"/>
      <c r="AC32" s="63" t="n"/>
      <c r="AD32" s="63" t="n"/>
      <c r="AE32" s="64" t="n"/>
      <c r="AJ32" s="1" t="inlineStr">
        <is>
          <t>Cirugía General - Amputación</t>
        </is>
      </c>
      <c r="AM32">
        <f>_xlfn.TEXTJOIN(" + ", TRUE, I32:M32)</f>
        <v/>
      </c>
    </row>
    <row r="33">
      <c r="A33" s="23" t="n"/>
      <c r="B33" s="1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7">
        <f>R33-Q33</f>
        <v/>
      </c>
      <c r="U33" s="7">
        <f>S33-Q33</f>
        <v/>
      </c>
      <c r="V33" s="1" t="n"/>
      <c r="W33" s="9">
        <f>S33-R33</f>
        <v/>
      </c>
      <c r="X33" s="9" t="n"/>
      <c r="AJ33" s="1" t="inlineStr">
        <is>
          <t>Cirugía General - Anastomosis intestinal</t>
        </is>
      </c>
      <c r="AM33">
        <f>_xlfn.TEXTJOIN(" + ", TRUE, I33:M33)</f>
        <v/>
      </c>
    </row>
    <row r="34">
      <c r="A34" s="23" t="n"/>
      <c r="B34" s="1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7">
        <f>R34-Q34</f>
        <v/>
      </c>
      <c r="U34" s="7">
        <f>S34-Q34</f>
        <v/>
      </c>
      <c r="V34" s="1" t="n"/>
      <c r="W34" s="9">
        <f>S34-R34</f>
        <v/>
      </c>
      <c r="X34" s="9" t="n"/>
      <c r="AJ34" s="1" t="inlineStr">
        <is>
          <t>Cirugía General - Apendicectomía</t>
        </is>
      </c>
      <c r="AM34">
        <f>_xlfn.TEXTJOIN(" + ", TRUE, I34:M34)</f>
        <v/>
      </c>
    </row>
    <row r="35">
      <c r="A35" s="23" t="n"/>
      <c r="B35" s="1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7">
        <f>R35-Q35</f>
        <v/>
      </c>
      <c r="U35" s="7">
        <f>S35-Q35</f>
        <v/>
      </c>
      <c r="V35" s="1" t="n"/>
      <c r="W35" s="9">
        <f>S35-R35</f>
        <v/>
      </c>
      <c r="X35" s="9" t="n"/>
      <c r="AJ35" s="1" t="inlineStr">
        <is>
          <t>Cirugía General - Biopsia excisional</t>
        </is>
      </c>
      <c r="AM35">
        <f>_xlfn.TEXTJOIN(" + ", TRUE, I35:M35)</f>
        <v/>
      </c>
    </row>
    <row r="36">
      <c r="A36" s="23" t="n"/>
      <c r="B36" s="1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7">
        <f>R36-Q36</f>
        <v/>
      </c>
      <c r="U36" s="7">
        <f>S36-Q36</f>
        <v/>
      </c>
      <c r="V36" s="1" t="n"/>
      <c r="W36" s="9">
        <f>S36-R36</f>
        <v/>
      </c>
      <c r="X36" s="9" t="n"/>
      <c r="AJ36" s="1" t="inlineStr">
        <is>
          <t>Cirugía General - Biopsia quirúrgica</t>
        </is>
      </c>
      <c r="AM36">
        <f>_xlfn.TEXTJOIN(" + ", TRUE, I36:M36)</f>
        <v/>
      </c>
    </row>
    <row r="37">
      <c r="A37" s="23" t="n"/>
      <c r="B37" s="1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7">
        <f>R37-Q37</f>
        <v/>
      </c>
      <c r="U37" s="7">
        <f>S37-Q37</f>
        <v/>
      </c>
      <c r="V37" s="1" t="n"/>
      <c r="W37" s="9">
        <f>S37-R37</f>
        <v/>
      </c>
      <c r="X37" s="9" t="n"/>
      <c r="AJ37" s="1" t="inlineStr">
        <is>
          <t>Cirugía General - Bypass gástrico</t>
        </is>
      </c>
      <c r="AM37">
        <f>_xlfn.TEXTJOIN(" + ", TRUE, I37:M37)</f>
        <v/>
      </c>
    </row>
    <row r="38">
      <c r="A38" s="23" t="n"/>
      <c r="B38" s="1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7">
        <f>R38-Q38</f>
        <v/>
      </c>
      <c r="U38" s="7">
        <f>S38-Q38</f>
        <v/>
      </c>
      <c r="V38" s="1" t="n"/>
      <c r="W38" s="9">
        <f>S38-R38</f>
        <v/>
      </c>
      <c r="X38" s="9" t="n"/>
      <c r="AJ38" s="1" t="inlineStr">
        <is>
          <t>Cirugía General - Cierre de herida</t>
        </is>
      </c>
      <c r="AM38">
        <f>_xlfn.TEXTJOIN(" + ", TRUE, I38:M38)</f>
        <v/>
      </c>
    </row>
    <row r="39">
      <c r="A39" s="23" t="n"/>
      <c r="B39" s="1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7">
        <f>R39-Q39</f>
        <v/>
      </c>
      <c r="U39" s="7">
        <f>S39-Q39</f>
        <v/>
      </c>
      <c r="V39" s="1" t="n"/>
      <c r="W39" s="9">
        <f>S39-R39</f>
        <v/>
      </c>
      <c r="X39" s="9" t="n"/>
      <c r="AJ39" s="1" t="inlineStr">
        <is>
          <t>Cirugía General - Cierre de ostomías</t>
        </is>
      </c>
      <c r="AM39">
        <f>_xlfn.TEXTJOIN(" + ", TRUE, I39:M39)</f>
        <v/>
      </c>
    </row>
    <row r="40">
      <c r="A40" s="23" t="n"/>
      <c r="B40" s="1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7">
        <f>R40-Q40</f>
        <v/>
      </c>
      <c r="U40" s="7">
        <f>S40-Q40</f>
        <v/>
      </c>
      <c r="V40" s="1" t="n"/>
      <c r="W40" s="9">
        <f>S40-R40</f>
        <v/>
      </c>
      <c r="X40" s="9" t="n"/>
      <c r="AJ40" s="1" t="inlineStr">
        <is>
          <t>Cirugía General - Cirugía de diverticulitis</t>
        </is>
      </c>
      <c r="AM40">
        <f>_xlfn.TEXTJOIN(" + ", TRUE, I40:M40)</f>
        <v/>
      </c>
    </row>
    <row r="41">
      <c r="A41" s="23" t="n"/>
      <c r="B41" s="1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7">
        <f>R41-Q41</f>
        <v/>
      </c>
      <c r="U41" s="7">
        <f>S41-Q41</f>
        <v/>
      </c>
      <c r="V41" s="1" t="n"/>
      <c r="W41" s="9">
        <f>S41-R41</f>
        <v/>
      </c>
      <c r="X41" s="9" t="n"/>
      <c r="AJ41" s="1" t="inlineStr">
        <is>
          <t>Cirugía General - Cirugía de quistes hepáticos</t>
        </is>
      </c>
      <c r="AM41">
        <f>_xlfn.TEXTJOIN(" + ", TRUE, I41:M41)</f>
        <v/>
      </c>
    </row>
    <row r="42">
      <c r="A42" s="23" t="n"/>
      <c r="B42" s="1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7">
        <f>R42-Q42</f>
        <v/>
      </c>
      <c r="U42" s="7">
        <f>S42-Q42</f>
        <v/>
      </c>
      <c r="V42" s="1" t="n"/>
      <c r="W42" s="9">
        <f>S42-R42</f>
        <v/>
      </c>
      <c r="X42" s="9" t="n"/>
      <c r="AJ42" s="1" t="inlineStr">
        <is>
          <t>Cirugía General - Cirugía de quistes sebáceos</t>
        </is>
      </c>
      <c r="AM42">
        <f>_xlfn.TEXTJOIN(" + ", TRUE, I42:M42)</f>
        <v/>
      </c>
    </row>
    <row r="43">
      <c r="A43" s="23" t="n"/>
      <c r="B43" s="1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7">
        <f>R43-Q43</f>
        <v/>
      </c>
      <c r="U43" s="7">
        <f>S43-Q43</f>
        <v/>
      </c>
      <c r="V43" s="1" t="n"/>
      <c r="W43" s="9">
        <f>S43-R43</f>
        <v/>
      </c>
      <c r="X43" s="9" t="n"/>
      <c r="AJ43" s="1" t="inlineStr">
        <is>
          <t>Cirugía General - Cirugía de tiroides</t>
        </is>
      </c>
      <c r="AM43">
        <f>_xlfn.TEXTJOIN(" + ", TRUE, I43:M43)</f>
        <v/>
      </c>
    </row>
    <row r="44">
      <c r="A44" s="23" t="n"/>
      <c r="B44" s="1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7">
        <f>R44-Q44</f>
        <v/>
      </c>
      <c r="U44" s="7">
        <f>S44-Q44</f>
        <v/>
      </c>
      <c r="V44" s="1" t="n"/>
      <c r="W44" s="9">
        <f>S44-R44</f>
        <v/>
      </c>
      <c r="X44" s="9" t="n"/>
      <c r="AJ44" s="1" t="inlineStr">
        <is>
          <t>Cirugía General - Colecistectomía</t>
        </is>
      </c>
      <c r="AM44">
        <f>_xlfn.TEXTJOIN(" + ", TRUE, I44:M44)</f>
        <v/>
      </c>
    </row>
    <row r="45">
      <c r="A45" s="23" t="n"/>
      <c r="B45" s="1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7">
        <f>R45-Q45</f>
        <v/>
      </c>
      <c r="U45" s="7">
        <f>S45-Q45</f>
        <v/>
      </c>
      <c r="V45" s="1" t="n"/>
      <c r="W45" s="9">
        <f>S45-R45</f>
        <v/>
      </c>
      <c r="X45" s="9" t="n"/>
      <c r="AJ45" s="1" t="inlineStr">
        <is>
          <t>Cirugía General - Colectomía</t>
        </is>
      </c>
      <c r="AM45">
        <f>_xlfn.TEXTJOIN(" + ", TRUE, I45:M45)</f>
        <v/>
      </c>
    </row>
    <row r="46">
      <c r="A46" s="23" t="n"/>
      <c r="B46" s="1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7">
        <f>R46-Q46</f>
        <v/>
      </c>
      <c r="U46" s="7">
        <f>S46-Q46</f>
        <v/>
      </c>
      <c r="V46" s="1" t="n"/>
      <c r="W46" s="9">
        <f>S46-R46</f>
        <v/>
      </c>
      <c r="X46" s="9" t="n"/>
      <c r="AJ46" s="1" t="inlineStr">
        <is>
          <t>Cirugía General - Colostomía</t>
        </is>
      </c>
      <c r="AM46">
        <f>_xlfn.TEXTJOIN(" + ", TRUE, I46:M46)</f>
        <v/>
      </c>
    </row>
    <row r="47">
      <c r="A47" s="23" t="n"/>
      <c r="B47" s="1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7">
        <f>R47-Q47</f>
        <v/>
      </c>
      <c r="U47" s="7">
        <f>S47-Q47</f>
        <v/>
      </c>
      <c r="V47" s="1" t="n"/>
      <c r="W47" s="9">
        <f>S47-R47</f>
        <v/>
      </c>
      <c r="X47" s="9" t="n"/>
      <c r="AJ47" s="1" t="inlineStr">
        <is>
          <t>Cirugía General - Debridamiento quirúrgico</t>
        </is>
      </c>
      <c r="AM47">
        <f>_xlfn.TEXTJOIN(" + ", TRUE, I47:M47)</f>
        <v/>
      </c>
    </row>
    <row r="48">
      <c r="A48" s="23" t="n"/>
      <c r="B48" s="1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7">
        <f>R48-Q48</f>
        <v/>
      </c>
      <c r="U48" s="7">
        <f>S48-Q48</f>
        <v/>
      </c>
      <c r="V48" s="1" t="n"/>
      <c r="W48" s="9">
        <f>S48-R48</f>
        <v/>
      </c>
      <c r="X48" s="9" t="n"/>
      <c r="AJ48" s="1" t="inlineStr">
        <is>
          <t>Cirugía General - Dedo en gatillo</t>
        </is>
      </c>
      <c r="AM48">
        <f>_xlfn.TEXTJOIN(" + ", TRUE, I48:M48)</f>
        <v/>
      </c>
    </row>
    <row r="49">
      <c r="A49" s="23" t="n"/>
      <c r="B49" s="1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7">
        <f>R49-Q49</f>
        <v/>
      </c>
      <c r="U49" s="7">
        <f>S49-Q49</f>
        <v/>
      </c>
      <c r="V49" s="1" t="n"/>
      <c r="W49" s="9">
        <f>S49-R49</f>
        <v/>
      </c>
      <c r="X49" s="9" t="n"/>
      <c r="AJ49" s="1" t="inlineStr">
        <is>
          <t>Cirugía General - Drenaje biliar</t>
        </is>
      </c>
      <c r="AM49">
        <f>_xlfn.TEXTJOIN(" + ", TRUE, I49:M49)</f>
        <v/>
      </c>
    </row>
    <row r="50">
      <c r="A50" s="23" t="n"/>
      <c r="B50" s="1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7">
        <f>R50-Q50</f>
        <v/>
      </c>
      <c r="U50" s="7">
        <f>S50-Q50</f>
        <v/>
      </c>
      <c r="V50" s="1" t="n"/>
      <c r="W50" s="9">
        <f>S50-R50</f>
        <v/>
      </c>
      <c r="X50" s="9" t="n"/>
      <c r="AJ50" s="1" t="inlineStr">
        <is>
          <t>Cirugía General - Enterectomía</t>
        </is>
      </c>
      <c r="AM50">
        <f>_xlfn.TEXTJOIN(" + ", TRUE, I50:M50)</f>
        <v/>
      </c>
    </row>
    <row r="51">
      <c r="A51" s="23" t="n"/>
      <c r="B51" s="1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7">
        <f>R51-Q51</f>
        <v/>
      </c>
      <c r="U51" s="7">
        <f>S51-Q51</f>
        <v/>
      </c>
      <c r="V51" s="1" t="n"/>
      <c r="W51" s="9">
        <f>S51-R51</f>
        <v/>
      </c>
      <c r="X51" s="9" t="n"/>
      <c r="AJ51" s="1" t="inlineStr">
        <is>
          <t>Cirugía General - Esplenectomía</t>
        </is>
      </c>
      <c r="AM51">
        <f>_xlfn.TEXTJOIN(" + ", TRUE, I51:M51)</f>
        <v/>
      </c>
    </row>
    <row r="52">
      <c r="A52" s="23" t="n"/>
      <c r="B52" s="1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7">
        <f>R52-Q52</f>
        <v/>
      </c>
      <c r="U52" s="7">
        <f>S52-Q52</f>
        <v/>
      </c>
      <c r="V52" s="1" t="n"/>
      <c r="W52" s="9">
        <f>S52-R52</f>
        <v/>
      </c>
      <c r="X52" s="9" t="n"/>
      <c r="AJ52" s="1" t="inlineStr">
        <is>
          <t>Cirugía General - Eventrorrafia</t>
        </is>
      </c>
      <c r="AM52">
        <f>_xlfn.TEXTJOIN(" + ", TRUE, I52:M52)</f>
        <v/>
      </c>
    </row>
    <row r="53">
      <c r="A53" s="23" t="n"/>
      <c r="B53" s="1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7">
        <f>R53-Q53</f>
        <v/>
      </c>
      <c r="U53" s="7">
        <f>S53-Q53</f>
        <v/>
      </c>
      <c r="V53" s="1" t="n"/>
      <c r="W53" s="9">
        <f>S53-R53</f>
        <v/>
      </c>
      <c r="X53" s="9" t="n"/>
      <c r="AJ53" s="1" t="inlineStr">
        <is>
          <t>Cirugía General - Fistulectomía</t>
        </is>
      </c>
      <c r="AM53">
        <f>_xlfn.TEXTJOIN(" + ", TRUE, I53:M53)</f>
        <v/>
      </c>
    </row>
    <row r="54">
      <c r="A54" s="23" t="n"/>
      <c r="B54" s="1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7">
        <f>R54-Q54</f>
        <v/>
      </c>
      <c r="U54" s="7">
        <f>S54-Q54</f>
        <v/>
      </c>
      <c r="V54" s="1" t="n"/>
      <c r="W54" s="9">
        <f>S54-R54</f>
        <v/>
      </c>
      <c r="X54" s="9" t="n"/>
      <c r="AJ54" s="1" t="inlineStr">
        <is>
          <t>Cirugía General - Fisurotomía</t>
        </is>
      </c>
      <c r="AM54">
        <f>_xlfn.TEXTJOIN(" + ", TRUE, I54:M54)</f>
        <v/>
      </c>
    </row>
    <row r="55">
      <c r="A55" s="23" t="n"/>
      <c r="B55" s="1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7">
        <f>R55-Q55</f>
        <v/>
      </c>
      <c r="U55" s="7">
        <f>S55-Q55</f>
        <v/>
      </c>
      <c r="V55" s="1" t="n"/>
      <c r="W55" s="9">
        <f>S55-R55</f>
        <v/>
      </c>
      <c r="X55" s="9" t="n"/>
      <c r="AJ55" s="1" t="inlineStr">
        <is>
          <t>Cirugía General - Funduplicatura</t>
        </is>
      </c>
      <c r="AM55">
        <f>_xlfn.TEXTJOIN(" + ", TRUE, I55:M55)</f>
        <v/>
      </c>
    </row>
    <row r="56">
      <c r="A56" s="23" t="n"/>
      <c r="B56" s="1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7">
        <f>R56-Q56</f>
        <v/>
      </c>
      <c r="U56" s="7">
        <f>S56-Q56</f>
        <v/>
      </c>
      <c r="V56" s="1" t="n"/>
      <c r="W56" s="9">
        <f>S56-R56</f>
        <v/>
      </c>
      <c r="X56" s="9" t="n"/>
      <c r="AJ56" s="1" t="inlineStr">
        <is>
          <t>Cirugía General - Gastrectomía subtotal</t>
        </is>
      </c>
      <c r="AM56">
        <f>_xlfn.TEXTJOIN(" + ", TRUE, I56:M56)</f>
        <v/>
      </c>
    </row>
    <row r="57">
      <c r="A57" s="23" t="n"/>
      <c r="B57" s="1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7">
        <f>R57-Q57</f>
        <v/>
      </c>
      <c r="U57" s="7">
        <f>S57-Q57</f>
        <v/>
      </c>
      <c r="V57" s="1" t="n"/>
      <c r="W57" s="9">
        <f>S57-R57</f>
        <v/>
      </c>
      <c r="X57" s="9" t="n"/>
      <c r="AJ57" s="1" t="inlineStr">
        <is>
          <t>Cirugía General - Gastrectomía total</t>
        </is>
      </c>
      <c r="AM57">
        <f>_xlfn.TEXTJOIN(" + ", TRUE, I57:M57)</f>
        <v/>
      </c>
    </row>
    <row r="58">
      <c r="A58" s="23" t="n"/>
      <c r="B58" s="1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7">
        <f>R58-Q58</f>
        <v/>
      </c>
      <c r="U58" s="7">
        <f>S58-Q58</f>
        <v/>
      </c>
      <c r="V58" s="1" t="n"/>
      <c r="W58" s="9">
        <f>S58-R58</f>
        <v/>
      </c>
      <c r="X58" s="9" t="n"/>
      <c r="AJ58" s="1" t="inlineStr">
        <is>
          <t>Cirugía General - Gastrostomía</t>
        </is>
      </c>
      <c r="AM58">
        <f>_xlfn.TEXTJOIN(" + ", TRUE, I58:M58)</f>
        <v/>
      </c>
    </row>
    <row r="59">
      <c r="A59" s="23" t="n"/>
      <c r="B59" s="1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7">
        <f>R59-Q59</f>
        <v/>
      </c>
      <c r="U59" s="7">
        <f>S59-Q59</f>
        <v/>
      </c>
      <c r="V59" s="1" t="n"/>
      <c r="W59" s="9">
        <f>S59-R59</f>
        <v/>
      </c>
      <c r="X59" s="9" t="n"/>
      <c r="AJ59" s="1" t="inlineStr">
        <is>
          <t>Cirugía General - Hemicolectomía derecha</t>
        </is>
      </c>
      <c r="AM59">
        <f>_xlfn.TEXTJOIN(" + ", TRUE, I59:M59)</f>
        <v/>
      </c>
    </row>
    <row r="60">
      <c r="A60" s="23" t="n"/>
      <c r="B60" s="1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7">
        <f>R60-Q60</f>
        <v/>
      </c>
      <c r="U60" s="7">
        <f>S60-Q60</f>
        <v/>
      </c>
      <c r="V60" s="1" t="n"/>
      <c r="W60" s="9">
        <f>S60-R60</f>
        <v/>
      </c>
      <c r="X60" s="9" t="n"/>
      <c r="AJ60" s="1" t="inlineStr">
        <is>
          <t>Cirugía General - Hemicolectomía izquierda</t>
        </is>
      </c>
      <c r="AM60">
        <f>_xlfn.TEXTJOIN(" + ", TRUE, I60:M60)</f>
        <v/>
      </c>
    </row>
    <row r="61">
      <c r="A61" s="23" t="n"/>
      <c r="B61" s="1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7">
        <f>R61-Q61</f>
        <v/>
      </c>
      <c r="U61" s="7">
        <f>S61-Q61</f>
        <v/>
      </c>
      <c r="V61" s="1" t="n"/>
      <c r="W61" s="9">
        <f>S61-R61</f>
        <v/>
      </c>
      <c r="X61" s="9" t="n"/>
      <c r="AJ61" s="1" t="inlineStr">
        <is>
          <t>Cirugía General - Hemorroidectomía</t>
        </is>
      </c>
      <c r="AM61">
        <f>_xlfn.TEXTJOIN(" + ", TRUE, I61:M61)</f>
        <v/>
      </c>
    </row>
    <row r="62">
      <c r="A62" s="23" t="n"/>
      <c r="B62" s="1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7">
        <f>R62-Q62</f>
        <v/>
      </c>
      <c r="U62" s="7">
        <f>S62-Q62</f>
        <v/>
      </c>
      <c r="V62" s="1" t="n"/>
      <c r="W62" s="9">
        <f>S62-R62</f>
        <v/>
      </c>
      <c r="X62" s="9" t="n"/>
      <c r="AJ62" s="1" t="inlineStr">
        <is>
          <t>Cirugía General - Hepatectomía</t>
        </is>
      </c>
      <c r="AM62">
        <f>_xlfn.TEXTJOIN(" + ", TRUE, I62:M62)</f>
        <v/>
      </c>
    </row>
    <row r="63">
      <c r="A63" s="23" t="n"/>
      <c r="B63" s="1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7">
        <f>R63-Q63</f>
        <v/>
      </c>
      <c r="U63" s="7">
        <f>S63-Q63</f>
        <v/>
      </c>
      <c r="V63" s="1" t="n"/>
      <c r="W63" s="9">
        <f>S63-R63</f>
        <v/>
      </c>
      <c r="X63" s="9" t="n"/>
      <c r="AJ63" s="1" t="inlineStr">
        <is>
          <t>Cirugía General - Hernioplastía incisional</t>
        </is>
      </c>
      <c r="AM63">
        <f>_xlfn.TEXTJOIN(" + ", TRUE, I63:M63)</f>
        <v/>
      </c>
    </row>
    <row r="64">
      <c r="A64" s="23" t="n"/>
      <c r="B64" s="1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7">
        <f>R64-Q64</f>
        <v/>
      </c>
      <c r="U64" s="7">
        <f>S64-Q64</f>
        <v/>
      </c>
      <c r="V64" s="1" t="n"/>
      <c r="W64" s="9">
        <f>S64-R64</f>
        <v/>
      </c>
      <c r="X64" s="9" t="n"/>
      <c r="AJ64" s="1" t="inlineStr">
        <is>
          <t>Cirugía General - Hernioplastía inguinal</t>
        </is>
      </c>
      <c r="AM64">
        <f>_xlfn.TEXTJOIN(" + ", TRUE, I64:M64)</f>
        <v/>
      </c>
    </row>
    <row r="65">
      <c r="A65" s="23" t="n"/>
      <c r="B65" s="1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7">
        <f>R65-Q65</f>
        <v/>
      </c>
      <c r="U65" s="7">
        <f>S65-Q65</f>
        <v/>
      </c>
      <c r="V65" s="1" t="n"/>
      <c r="W65" s="9">
        <f>S65-R65</f>
        <v/>
      </c>
      <c r="X65" s="9" t="n"/>
      <c r="AJ65" s="1" t="inlineStr">
        <is>
          <t>Cirugía General - Hernioplastía umbilical</t>
        </is>
      </c>
      <c r="AM65">
        <f>_xlfn.TEXTJOIN(" + ", TRUE, I65:M65)</f>
        <v/>
      </c>
    </row>
    <row r="66">
      <c r="A66" s="23" t="n"/>
      <c r="B66" s="1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7">
        <f>R66-Q66</f>
        <v/>
      </c>
      <c r="U66" s="7">
        <f>S66-Q66</f>
        <v/>
      </c>
      <c r="V66" s="1" t="n"/>
      <c r="W66" s="9">
        <f>S66-R66</f>
        <v/>
      </c>
      <c r="X66" s="9" t="n"/>
      <c r="AJ66" s="1" t="inlineStr">
        <is>
          <t>Cirugía General - Herniorrafia</t>
        </is>
      </c>
      <c r="AM66">
        <f>_xlfn.TEXTJOIN(" + ", TRUE, I66:M66)</f>
        <v/>
      </c>
    </row>
    <row r="67">
      <c r="A67" s="23" t="n"/>
      <c r="B67" s="1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7">
        <f>R67-Q67</f>
        <v/>
      </c>
      <c r="U67" s="7">
        <f>S67-Q67</f>
        <v/>
      </c>
      <c r="V67" s="1" t="n"/>
      <c r="W67" s="9">
        <f>S67-R67</f>
        <v/>
      </c>
      <c r="X67" s="9" t="n"/>
      <c r="AJ67" s="1" t="inlineStr">
        <is>
          <t>Cirugía General - Ileostomía</t>
        </is>
      </c>
      <c r="AM67">
        <f>_xlfn.TEXTJOIN(" + ", TRUE, I67:M67)</f>
        <v/>
      </c>
    </row>
    <row r="68">
      <c r="A68" s="23" t="n"/>
      <c r="B68" s="1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7">
        <f>R68-Q68</f>
        <v/>
      </c>
      <c r="U68" s="7">
        <f>S68-Q68</f>
        <v/>
      </c>
      <c r="V68" s="1" t="n"/>
      <c r="W68" s="9">
        <f>S68-R68</f>
        <v/>
      </c>
      <c r="X68" s="9" t="n"/>
      <c r="AJ68" s="1" t="inlineStr">
        <is>
          <t>Cirugía General - Laparoscopía diagnóstica</t>
        </is>
      </c>
      <c r="AM68">
        <f>_xlfn.TEXTJOIN(" + ", TRUE, I68:M68)</f>
        <v/>
      </c>
    </row>
    <row r="69">
      <c r="A69" s="23" t="n"/>
      <c r="B69" s="1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7">
        <f>R69-Q69</f>
        <v/>
      </c>
      <c r="U69" s="7">
        <f>S69-Q69</f>
        <v/>
      </c>
      <c r="V69" s="1" t="n"/>
      <c r="W69" s="9">
        <f>S69-R69</f>
        <v/>
      </c>
      <c r="X69" s="9" t="n"/>
      <c r="AJ69" s="1" t="inlineStr">
        <is>
          <t>Cirugía General - Laparotomía exploradora</t>
        </is>
      </c>
      <c r="AM69">
        <f>_xlfn.TEXTJOIN(" + ", TRUE, I69:M69)</f>
        <v/>
      </c>
    </row>
    <row r="70">
      <c r="A70" s="23" t="n"/>
      <c r="B70" s="1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7">
        <f>R70-Q70</f>
        <v/>
      </c>
      <c r="U70" s="7">
        <f>S70-Q70</f>
        <v/>
      </c>
      <c r="V70" s="1" t="n"/>
      <c r="W70" s="9">
        <f>S70-R70</f>
        <v/>
      </c>
      <c r="X70" s="9" t="n"/>
      <c r="AJ70" s="1" t="inlineStr">
        <is>
          <t>Cirugía General - Manejo quirúrgico de trauma abdominal</t>
        </is>
      </c>
      <c r="AM70">
        <f>_xlfn.TEXTJOIN(" + ", TRUE, I70:M70)</f>
        <v/>
      </c>
    </row>
    <row r="71">
      <c r="A71" s="23" t="n"/>
      <c r="B71" s="1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7">
        <f>R71-Q71</f>
        <v/>
      </c>
      <c r="U71" s="7">
        <f>S71-Q71</f>
        <v/>
      </c>
      <c r="V71" s="1" t="n"/>
      <c r="W71" s="9">
        <f>S71-R71</f>
        <v/>
      </c>
      <c r="X71" s="9" t="n"/>
      <c r="AJ71" s="1" t="inlineStr">
        <is>
          <t>Cirugía General - Manga gástrica</t>
        </is>
      </c>
      <c r="AM71">
        <f>_xlfn.TEXTJOIN(" + ", TRUE, I71:M71)</f>
        <v/>
      </c>
    </row>
    <row r="72">
      <c r="A72" s="23" t="n"/>
      <c r="B72" s="1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7">
        <f>R72-Q72</f>
        <v/>
      </c>
      <c r="U72" s="7">
        <f>S72-Q72</f>
        <v/>
      </c>
      <c r="V72" s="1" t="n"/>
      <c r="W72" s="9">
        <f>S72-R72</f>
        <v/>
      </c>
      <c r="X72" s="9" t="n"/>
      <c r="AJ72" s="1" t="inlineStr">
        <is>
          <t>Cirugía General - Pancreatectomía</t>
        </is>
      </c>
      <c r="AM72">
        <f>_xlfn.TEXTJOIN(" + ", TRUE, I72:M72)</f>
        <v/>
      </c>
    </row>
    <row r="73">
      <c r="A73" s="23" t="n"/>
      <c r="B73" s="1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7">
        <f>R73-Q73</f>
        <v/>
      </c>
      <c r="U73" s="7">
        <f>S73-Q73</f>
        <v/>
      </c>
      <c r="V73" s="1" t="n"/>
      <c r="W73" s="9">
        <f>S73-R73</f>
        <v/>
      </c>
      <c r="X73" s="9" t="n"/>
      <c r="AJ73" s="1" t="inlineStr">
        <is>
          <t>Cirugía General - Paratiroidectomía</t>
        </is>
      </c>
      <c r="AM73">
        <f>_xlfn.TEXTJOIN(" + ", TRUE, I73:M73)</f>
        <v/>
      </c>
    </row>
    <row r="74">
      <c r="A74" s="23" t="n"/>
      <c r="B74" s="1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7">
        <f>R74-Q74</f>
        <v/>
      </c>
      <c r="U74" s="7">
        <f>S74-Q74</f>
        <v/>
      </c>
      <c r="V74" s="1" t="n"/>
      <c r="W74" s="9">
        <f>S74-R74</f>
        <v/>
      </c>
      <c r="X74" s="9" t="n"/>
      <c r="AJ74" s="1" t="inlineStr">
        <is>
          <t>Cirugía General - Piloroplastía</t>
        </is>
      </c>
      <c r="AM74">
        <f>_xlfn.TEXTJOIN(" + ", TRUE, I74:M74)</f>
        <v/>
      </c>
    </row>
    <row r="75">
      <c r="A75" s="23" t="n"/>
      <c r="B75" s="1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7">
        <f>R75-Q75</f>
        <v/>
      </c>
      <c r="U75" s="7">
        <f>S75-Q75</f>
        <v/>
      </c>
      <c r="V75" s="1" t="n"/>
      <c r="W75" s="9">
        <f>S75-R75</f>
        <v/>
      </c>
      <c r="X75" s="9" t="n"/>
      <c r="AJ75" s="1" t="inlineStr">
        <is>
          <t>Cirugía General - Reexploración abdominal y cierre por planos</t>
        </is>
      </c>
      <c r="AM75">
        <f>_xlfn.TEXTJOIN(" + ", TRUE, I75:M75)</f>
        <v/>
      </c>
    </row>
    <row r="76">
      <c r="A76" s="23" t="n"/>
      <c r="B76" s="1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7">
        <f>R76-Q76</f>
        <v/>
      </c>
      <c r="U76" s="7">
        <f>S76-Q76</f>
        <v/>
      </c>
      <c r="V76" s="1" t="n"/>
      <c r="W76" s="9">
        <f>S76-R76</f>
        <v/>
      </c>
      <c r="X76" s="9" t="n"/>
      <c r="AJ76" s="1" t="inlineStr">
        <is>
          <t>Cirugía General - Remodelación de Colostomía</t>
        </is>
      </c>
      <c r="AM76">
        <f>_xlfn.TEXTJOIN(" + ", TRUE, I76:M76)</f>
        <v/>
      </c>
    </row>
    <row r="77">
      <c r="A77" s="23" t="n"/>
      <c r="B77" s="1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7">
        <f>R77-Q77</f>
        <v/>
      </c>
      <c r="U77" s="7">
        <f>S77-Q77</f>
        <v/>
      </c>
      <c r="V77" s="1" t="n"/>
      <c r="W77" s="9">
        <f>S77-R77</f>
        <v/>
      </c>
      <c r="X77" s="9" t="n"/>
      <c r="AJ77" s="1" t="inlineStr">
        <is>
          <t>Cirugía General - Reparación de hernias</t>
        </is>
      </c>
      <c r="AM77">
        <f>_xlfn.TEXTJOIN(" + ", TRUE, I77:M77)</f>
        <v/>
      </c>
    </row>
    <row r="78">
      <c r="A78" s="23" t="n"/>
      <c r="B78" s="1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7">
        <f>R78-Q78</f>
        <v/>
      </c>
      <c r="U78" s="7">
        <f>S78-Q78</f>
        <v/>
      </c>
      <c r="V78" s="1" t="n"/>
      <c r="W78" s="9">
        <f>S78-R78</f>
        <v/>
      </c>
      <c r="X78" s="9" t="n"/>
      <c r="AJ78" s="1" t="inlineStr">
        <is>
          <t>Cirugía General - Reparación de perforaciones gastrointestinales</t>
        </is>
      </c>
      <c r="AM78">
        <f>_xlfn.TEXTJOIN(" + ", TRUE, I78:M78)</f>
        <v/>
      </c>
    </row>
    <row r="79">
      <c r="A79" s="23" t="n"/>
      <c r="B79" s="1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7">
        <f>R79-Q79</f>
        <v/>
      </c>
      <c r="U79" s="7">
        <f>S79-Q79</f>
        <v/>
      </c>
      <c r="V79" s="1" t="n"/>
      <c r="W79" s="9">
        <f>S79-R79</f>
        <v/>
      </c>
      <c r="X79" s="9" t="n"/>
      <c r="AJ79" s="1" t="inlineStr">
        <is>
          <t>Cirugía General - Resección de lipomas</t>
        </is>
      </c>
      <c r="AM79">
        <f>_xlfn.TEXTJOIN(" + ", TRUE, I79:M79)</f>
        <v/>
      </c>
    </row>
    <row r="80">
      <c r="A80" s="23" t="n"/>
      <c r="B80" s="1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7">
        <f>R80-Q80</f>
        <v/>
      </c>
      <c r="U80" s="7">
        <f>S80-Q80</f>
        <v/>
      </c>
      <c r="V80" s="1" t="n"/>
      <c r="W80" s="9">
        <f>S80-R80</f>
        <v/>
      </c>
      <c r="X80" s="9" t="n"/>
      <c r="AJ80" s="1" t="inlineStr">
        <is>
          <t>Cirugía General - Resección de tejido</t>
        </is>
      </c>
      <c r="AM80">
        <f>_xlfn.TEXTJOIN(" + ", TRUE, I80:M80)</f>
        <v/>
      </c>
    </row>
    <row r="81">
      <c r="A81" s="23" t="n"/>
      <c r="B81" s="1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7">
        <f>R81-Q81</f>
        <v/>
      </c>
      <c r="U81" s="7">
        <f>S81-Q81</f>
        <v/>
      </c>
      <c r="V81" s="1" t="n"/>
      <c r="W81" s="9">
        <f>S81-R81</f>
        <v/>
      </c>
      <c r="X81" s="9" t="n"/>
      <c r="AJ81" s="1" t="inlineStr">
        <is>
          <t>Cirugía General - Resección de tumores de piel y tejidos blandos</t>
        </is>
      </c>
      <c r="AM81">
        <f>_xlfn.TEXTJOIN(" + ", TRUE, I81:M81)</f>
        <v/>
      </c>
    </row>
    <row r="82">
      <c r="A82" s="23" t="n"/>
      <c r="B82" s="1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7">
        <f>R82-Q82</f>
        <v/>
      </c>
      <c r="U82" s="7">
        <f>S82-Q82</f>
        <v/>
      </c>
      <c r="V82" s="1" t="n"/>
      <c r="W82" s="9">
        <f>S82-R82</f>
        <v/>
      </c>
      <c r="X82" s="9" t="n"/>
      <c r="AJ82" s="1" t="inlineStr">
        <is>
          <t>Cirugía General - Resección intestinal</t>
        </is>
      </c>
      <c r="AM82">
        <f>_xlfn.TEXTJOIN(" + ", TRUE, I82:M82)</f>
        <v/>
      </c>
    </row>
    <row r="83">
      <c r="A83" s="23" t="n"/>
      <c r="B83" s="1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7">
        <f>R83-Q83</f>
        <v/>
      </c>
      <c r="U83" s="7">
        <f>S83-Q83</f>
        <v/>
      </c>
      <c r="V83" s="1" t="n"/>
      <c r="W83" s="9">
        <f>S83-R83</f>
        <v/>
      </c>
      <c r="X83" s="9" t="n"/>
      <c r="AJ83" s="1" t="inlineStr">
        <is>
          <t>Cirugía General - Sigmoidectomía</t>
        </is>
      </c>
      <c r="AM83">
        <f>_xlfn.TEXTJOIN(" + ", TRUE, I83:M83)</f>
        <v/>
      </c>
    </row>
    <row r="84">
      <c r="A84" s="23" t="n"/>
      <c r="B84" s="1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7">
        <f>R84-Q84</f>
        <v/>
      </c>
      <c r="U84" s="7">
        <f>S84-Q84</f>
        <v/>
      </c>
      <c r="V84" s="1" t="n"/>
      <c r="W84" s="9">
        <f>S84-R84</f>
        <v/>
      </c>
      <c r="X84" s="9" t="n"/>
      <c r="AJ84" s="1" t="inlineStr">
        <is>
          <t>Cirugía General - Tiroidectomía parcial</t>
        </is>
      </c>
      <c r="AM84">
        <f>_xlfn.TEXTJOIN(" + ", TRUE, I84:M84)</f>
        <v/>
      </c>
    </row>
    <row r="85">
      <c r="A85" s="23" t="n"/>
      <c r="B85" s="1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7">
        <f>R85-Q85</f>
        <v/>
      </c>
      <c r="U85" s="7">
        <f>S85-Q85</f>
        <v/>
      </c>
      <c r="V85" s="1" t="n"/>
      <c r="W85" s="9">
        <f>S85-R85</f>
        <v/>
      </c>
      <c r="X85" s="9" t="n"/>
      <c r="AJ85" s="1" t="inlineStr">
        <is>
          <t>Cirugía General - Tiroidectomía total</t>
        </is>
      </c>
      <c r="AM85">
        <f>_xlfn.TEXTJOIN(" + ", TRUE, I85:M85)</f>
        <v/>
      </c>
    </row>
    <row r="86">
      <c r="A86" s="23" t="n"/>
      <c r="B86" s="1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7">
        <f>R86-Q86</f>
        <v/>
      </c>
      <c r="U86" s="7">
        <f>S86-Q86</f>
        <v/>
      </c>
      <c r="V86" s="1" t="n"/>
      <c r="W86" s="9">
        <f>S86-R86</f>
        <v/>
      </c>
      <c r="X86" s="9" t="n"/>
      <c r="AJ86" s="1" t="inlineStr">
        <is>
          <t>Cirugía General - Tratamiento quirúrgico del sangrado digestivo</t>
        </is>
      </c>
      <c r="AM86">
        <f>_xlfn.TEXTJOIN(" + ", TRUE, I86:M86)</f>
        <v/>
      </c>
    </row>
    <row r="87">
      <c r="A87" s="23" t="n"/>
      <c r="B87" s="1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7">
        <f>R87-Q87</f>
        <v/>
      </c>
      <c r="U87" s="7">
        <f>S87-Q87</f>
        <v/>
      </c>
      <c r="V87" s="1" t="n"/>
      <c r="W87" s="9">
        <f>S87-R87</f>
        <v/>
      </c>
      <c r="X87" s="9" t="n"/>
      <c r="AJ87" s="1" t="inlineStr">
        <is>
          <t>Cirugía General - Vagotomía</t>
        </is>
      </c>
      <c r="AM87">
        <f>_xlfn.TEXTJOIN(" + ", TRUE, I87:M87)</f>
        <v/>
      </c>
    </row>
    <row r="88">
      <c r="A88" s="23" t="n"/>
      <c r="B88" s="1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7">
        <f>R88-Q88</f>
        <v/>
      </c>
      <c r="U88" s="7">
        <f>S88-Q88</f>
        <v/>
      </c>
      <c r="V88" s="1" t="n"/>
      <c r="W88" s="9">
        <f>S88-R88</f>
        <v/>
      </c>
      <c r="X88" s="9" t="n"/>
      <c r="AJ88" s="1" t="inlineStr">
        <is>
          <t>Cirugía General - Yeyunostomía</t>
        </is>
      </c>
      <c r="AM88">
        <f>_xlfn.TEXTJOIN(" + ", TRUE, I88:M88)</f>
        <v/>
      </c>
    </row>
    <row r="89">
      <c r="A89" s="23" t="n"/>
      <c r="B89" s="1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7">
        <f>R89-Q89</f>
        <v/>
      </c>
      <c r="U89" s="7">
        <f>S89-Q89</f>
        <v/>
      </c>
      <c r="V89" s="1" t="n"/>
      <c r="W89" s="9">
        <f>S89-R89</f>
        <v/>
      </c>
      <c r="X89" s="9" t="n"/>
      <c r="AJ89" s="1" t="inlineStr">
        <is>
          <t>Cirugía Maxilofacial - Cirugía ortognática</t>
        </is>
      </c>
      <c r="AM89">
        <f>_xlfn.TEXTJOIN(" + ", TRUE, I89:M89)</f>
        <v/>
      </c>
    </row>
    <row r="90">
      <c r="A90" s="23" t="n"/>
      <c r="B90" s="1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7">
        <f>R90-Q90</f>
        <v/>
      </c>
      <c r="U90" s="7">
        <f>S90-Q90</f>
        <v/>
      </c>
      <c r="V90" s="1" t="n"/>
      <c r="W90" s="9">
        <f>S90-R90</f>
        <v/>
      </c>
      <c r="X90" s="9" t="n"/>
      <c r="AJ90" s="1" t="inlineStr">
        <is>
          <t>Cirugía Maxilofacial - Extracción de terceros molares</t>
        </is>
      </c>
      <c r="AM90">
        <f>_xlfn.TEXTJOIN(" + ", TRUE, I90:M90)</f>
        <v/>
      </c>
    </row>
    <row r="91">
      <c r="A91" s="23" t="n"/>
      <c r="B91" s="1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7">
        <f>R91-Q91</f>
        <v/>
      </c>
      <c r="U91" s="7">
        <f>S91-Q91</f>
        <v/>
      </c>
      <c r="V91" s="1" t="n"/>
      <c r="W91" s="9">
        <f>S91-R91</f>
        <v/>
      </c>
      <c r="X91" s="9" t="n"/>
      <c r="AJ91" s="1" t="inlineStr">
        <is>
          <t>Cirugía Maxilofacial - Osteotomía mandibular</t>
        </is>
      </c>
      <c r="AM91">
        <f>_xlfn.TEXTJOIN(" + ", TRUE, I91:M91)</f>
        <v/>
      </c>
    </row>
    <row r="92">
      <c r="A92" s="23" t="n"/>
      <c r="B92" s="1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7">
        <f>R92-Q92</f>
        <v/>
      </c>
      <c r="U92" s="7">
        <f>S92-Q92</f>
        <v/>
      </c>
      <c r="V92" s="1" t="n"/>
      <c r="W92" s="9">
        <f>S92-R92</f>
        <v/>
      </c>
      <c r="X92" s="9" t="n"/>
      <c r="AJ92" s="1" t="inlineStr">
        <is>
          <t>Cirugía Maxilofacial - Reconstrucción maxilar</t>
        </is>
      </c>
      <c r="AM92">
        <f>_xlfn.TEXTJOIN(" + ", TRUE, I92:M92)</f>
        <v/>
      </c>
    </row>
    <row r="93">
      <c r="A93" s="23" t="n"/>
      <c r="B93" s="1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7">
        <f>R93-Q93</f>
        <v/>
      </c>
      <c r="U93" s="7">
        <f>S93-Q93</f>
        <v/>
      </c>
      <c r="V93" s="1" t="n"/>
      <c r="W93" s="9">
        <f>S93-R93</f>
        <v/>
      </c>
      <c r="X93" s="9" t="n"/>
      <c r="AJ93" s="1" t="inlineStr">
        <is>
          <t>Cirugía Maxilofacial - Reducción de fractura facial</t>
        </is>
      </c>
      <c r="AM93">
        <f>_xlfn.TEXTJOIN(" + ", TRUE, I93:M93)</f>
        <v/>
      </c>
    </row>
    <row r="94">
      <c r="A94" s="23" t="n"/>
      <c r="B94" s="1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7">
        <f>R94-Q94</f>
        <v/>
      </c>
      <c r="U94" s="7">
        <f>S94-Q94</f>
        <v/>
      </c>
      <c r="V94" s="1" t="n"/>
      <c r="W94" s="9">
        <f>S94-R94</f>
        <v/>
      </c>
      <c r="X94" s="9" t="n"/>
      <c r="AJ94" s="1" t="inlineStr">
        <is>
          <t>Cirugía Maxilofacial - Reparación de fractura facial</t>
        </is>
      </c>
      <c r="AM94">
        <f>_xlfn.TEXTJOIN(" + ", TRUE, I94:M94)</f>
        <v/>
      </c>
    </row>
    <row r="95">
      <c r="A95" s="23" t="n"/>
      <c r="B95" s="1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7">
        <f>R95-Q95</f>
        <v/>
      </c>
      <c r="U95" s="7">
        <f>S95-Q95</f>
        <v/>
      </c>
      <c r="V95" s="1" t="n"/>
      <c r="W95" s="9">
        <f>S95-R95</f>
        <v/>
      </c>
      <c r="X95" s="9" t="n"/>
      <c r="AJ95" s="1" t="inlineStr">
        <is>
          <t>Cirugía Maxilofacial - Resección de tumores maxilares</t>
        </is>
      </c>
      <c r="AM95">
        <f>_xlfn.TEXTJOIN(" + ", TRUE, I95:M95)</f>
        <v/>
      </c>
    </row>
    <row r="96">
      <c r="A96" s="23" t="n"/>
      <c r="B96" s="1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7">
        <f>R96-Q96</f>
        <v/>
      </c>
      <c r="U96" s="7">
        <f>S96-Q96</f>
        <v/>
      </c>
      <c r="V96" s="1" t="n"/>
      <c r="W96" s="9">
        <f>S96-R96</f>
        <v/>
      </c>
      <c r="X96" s="9" t="n"/>
      <c r="AJ96" s="1" t="inlineStr">
        <is>
          <t>Cirugía Oncológica - Cirugía de sarcomas</t>
        </is>
      </c>
      <c r="AM96">
        <f>_xlfn.TEXTJOIN(" + ", TRUE, I96:M96)</f>
        <v/>
      </c>
    </row>
    <row r="97">
      <c r="A97" s="23" t="n"/>
      <c r="B97" s="1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7">
        <f>R97-Q97</f>
        <v/>
      </c>
      <c r="U97" s="7">
        <f>S97-Q97</f>
        <v/>
      </c>
      <c r="V97" s="1" t="n"/>
      <c r="W97" s="9">
        <f>S97-R97</f>
        <v/>
      </c>
      <c r="X97" s="9" t="n"/>
      <c r="AJ97" s="1" t="inlineStr">
        <is>
          <t>Cirugía Oncológica - Cirugía hepatobiliar</t>
        </is>
      </c>
      <c r="AM97">
        <f>_xlfn.TEXTJOIN(" + ", TRUE, I97:M97)</f>
        <v/>
      </c>
    </row>
    <row r="98">
      <c r="A98" s="23" t="n"/>
      <c r="B98" s="1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7">
        <f>R98-Q98</f>
        <v/>
      </c>
      <c r="U98" s="7">
        <f>S98-Q98</f>
        <v/>
      </c>
      <c r="V98" s="1" t="n"/>
      <c r="W98" s="9">
        <f>S98-R98</f>
        <v/>
      </c>
      <c r="X98" s="9" t="n"/>
      <c r="AJ98" s="1" t="inlineStr">
        <is>
          <t>Cirugía Oncológica - Cirugía paliativa oncológica</t>
        </is>
      </c>
      <c r="AM98">
        <f>_xlfn.TEXTJOIN(" + ", TRUE, I98:M98)</f>
        <v/>
      </c>
    </row>
    <row r="99">
      <c r="A99" s="23" t="n"/>
      <c r="B99" s="1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7">
        <f>R99-Q99</f>
        <v/>
      </c>
      <c r="U99" s="7">
        <f>S99-Q99</f>
        <v/>
      </c>
      <c r="V99" s="1" t="n"/>
      <c r="W99" s="9">
        <f>S99-R99</f>
        <v/>
      </c>
      <c r="X99" s="9" t="n"/>
      <c r="AJ99" s="1" t="inlineStr">
        <is>
          <t>Cirugía Oncológica - Cirugía pancreática</t>
        </is>
      </c>
      <c r="AM99">
        <f>_xlfn.TEXTJOIN(" + ", TRUE, I99:M99)</f>
        <v/>
      </c>
    </row>
    <row r="100">
      <c r="A100" s="23" t="n"/>
      <c r="B100" s="1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7">
        <f>R100-Q100</f>
        <v/>
      </c>
      <c r="U100" s="7">
        <f>S100-Q100</f>
        <v/>
      </c>
      <c r="V100" s="1" t="n"/>
      <c r="W100" s="9">
        <f>S100-R100</f>
        <v/>
      </c>
      <c r="X100" s="9" t="n"/>
      <c r="AJ100" s="1" t="inlineStr">
        <is>
          <t>Cirugía Oncológica - Colectomía oncológica</t>
        </is>
      </c>
      <c r="AM100">
        <f>_xlfn.TEXTJOIN(" + ", TRUE, I100:M100)</f>
        <v/>
      </c>
    </row>
    <row r="101">
      <c r="A101" s="23" t="n"/>
      <c r="B101" s="1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7">
        <f>R101-Q101</f>
        <v/>
      </c>
      <c r="U101" s="7">
        <f>S101-Q101</f>
        <v/>
      </c>
      <c r="V101" s="1" t="n"/>
      <c r="W101" s="9">
        <f>S101-R101</f>
        <v/>
      </c>
      <c r="X101" s="9" t="n"/>
      <c r="AJ101" s="1" t="inlineStr">
        <is>
          <t>Cirugía Oncológica - Cuadrantectomía</t>
        </is>
      </c>
      <c r="AM101">
        <f>_xlfn.TEXTJOIN(" + ", TRUE, I101:M101)</f>
        <v/>
      </c>
    </row>
    <row r="102">
      <c r="A102" s="23" t="n"/>
      <c r="B102" s="1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7">
        <f>R102-Q102</f>
        <v/>
      </c>
      <c r="U102" s="7">
        <f>S102-Q102</f>
        <v/>
      </c>
      <c r="V102" s="1" t="n"/>
      <c r="W102" s="9">
        <f>S102-R102</f>
        <v/>
      </c>
      <c r="X102" s="9" t="n"/>
      <c r="AJ102" s="1" t="inlineStr">
        <is>
          <t>Cirugía Oncológica - Debulking tumoral</t>
        </is>
      </c>
      <c r="AM102">
        <f>_xlfn.TEXTJOIN(" + ", TRUE, I102:M102)</f>
        <v/>
      </c>
    </row>
    <row r="103">
      <c r="A103" s="23" t="n"/>
      <c r="B103" s="1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7">
        <f>R103-Q103</f>
        <v/>
      </c>
      <c r="U103" s="7">
        <f>S103-Q103</f>
        <v/>
      </c>
      <c r="V103" s="1" t="n"/>
      <c r="W103" s="9">
        <f>S103-R103</f>
        <v/>
      </c>
      <c r="X103" s="9" t="n"/>
      <c r="AJ103" s="1" t="inlineStr">
        <is>
          <t>Cirugía Oncológica - Disección axilar</t>
        </is>
      </c>
      <c r="AM103">
        <f>_xlfn.TEXTJOIN(" + ", TRUE, I103:M103)</f>
        <v/>
      </c>
    </row>
    <row r="104">
      <c r="A104" s="23" t="n"/>
      <c r="B104" s="1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7">
        <f>R104-Q104</f>
        <v/>
      </c>
      <c r="U104" s="7">
        <f>S104-Q104</f>
        <v/>
      </c>
      <c r="V104" s="1" t="n"/>
      <c r="W104" s="9">
        <f>S104-R104</f>
        <v/>
      </c>
      <c r="X104" s="9" t="n"/>
      <c r="AJ104" s="1" t="inlineStr">
        <is>
          <t>Cirugía Oncológica - Disección cervical</t>
        </is>
      </c>
      <c r="AM104">
        <f>_xlfn.TEXTJOIN(" + ", TRUE, I104:M104)</f>
        <v/>
      </c>
    </row>
    <row r="105">
      <c r="A105" s="23" t="n"/>
      <c r="B105" s="1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7">
        <f>R105-Q105</f>
        <v/>
      </c>
      <c r="U105" s="7">
        <f>S105-Q105</f>
        <v/>
      </c>
      <c r="V105" s="1" t="n"/>
      <c r="W105" s="9">
        <f>S105-R105</f>
        <v/>
      </c>
      <c r="X105" s="9" t="n"/>
      <c r="AJ105" s="1" t="inlineStr">
        <is>
          <t>Cirugía Oncológica - Gastrectomía oncológica</t>
        </is>
      </c>
      <c r="AM105">
        <f>_xlfn.TEXTJOIN(" + ", TRUE, I105:M105)</f>
        <v/>
      </c>
    </row>
    <row r="106">
      <c r="A106" s="23" t="n"/>
      <c r="B106" s="1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7">
        <f>R106-Q106</f>
        <v/>
      </c>
      <c r="U106" s="7">
        <f>S106-Q106</f>
        <v/>
      </c>
      <c r="V106" s="1" t="n"/>
      <c r="W106" s="9">
        <f>S106-R106</f>
        <v/>
      </c>
      <c r="X106" s="9" t="n"/>
      <c r="AJ106" s="1" t="inlineStr">
        <is>
          <t>Cirugía Oncológica - Linfadenectomía</t>
        </is>
      </c>
      <c r="AM106">
        <f>_xlfn.TEXTJOIN(" + ", TRUE, I106:M106)</f>
        <v/>
      </c>
    </row>
    <row r="107">
      <c r="A107" s="23" t="n"/>
      <c r="B107" s="1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7">
        <f>R107-Q107</f>
        <v/>
      </c>
      <c r="U107" s="7">
        <f>S107-Q107</f>
        <v/>
      </c>
      <c r="V107" s="1" t="n"/>
      <c r="W107" s="9">
        <f>S107-R107</f>
        <v/>
      </c>
      <c r="X107" s="9" t="n"/>
      <c r="AJ107" s="1" t="inlineStr">
        <is>
          <t>Cirugía Oncológica - Mastectomía</t>
        </is>
      </c>
      <c r="AM107">
        <f>_xlfn.TEXTJOIN(" + ", TRUE, I107:M107)</f>
        <v/>
      </c>
    </row>
    <row r="108">
      <c r="A108" s="23" t="n"/>
      <c r="B108" s="1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7">
        <f>R108-Q108</f>
        <v/>
      </c>
      <c r="U108" s="7">
        <f>S108-Q108</f>
        <v/>
      </c>
      <c r="V108" s="1" t="n"/>
      <c r="W108" s="9">
        <f>S108-R108</f>
        <v/>
      </c>
      <c r="X108" s="9" t="n"/>
      <c r="AJ108" s="1" t="inlineStr">
        <is>
          <t>Cirugía Oncológica - Pancreatectomía oncológica</t>
        </is>
      </c>
      <c r="AM108">
        <f>_xlfn.TEXTJOIN(" + ", TRUE, I108:M108)</f>
        <v/>
      </c>
    </row>
    <row r="109">
      <c r="A109" s="23" t="n"/>
      <c r="B109" s="1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7">
        <f>R109-Q109</f>
        <v/>
      </c>
      <c r="U109" s="7">
        <f>S109-Q109</f>
        <v/>
      </c>
      <c r="V109" s="1" t="n"/>
      <c r="W109" s="9">
        <f>S109-R109</f>
        <v/>
      </c>
      <c r="X109" s="9" t="n"/>
      <c r="AJ109" s="1" t="inlineStr">
        <is>
          <t>Cirugía Oncológica - Resección de tumores</t>
        </is>
      </c>
      <c r="AM109">
        <f>_xlfn.TEXTJOIN(" + ", TRUE, I109:M109)</f>
        <v/>
      </c>
    </row>
    <row r="110">
      <c r="A110" s="23" t="n"/>
      <c r="B110" s="1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7">
        <f>R110-Q110</f>
        <v/>
      </c>
      <c r="U110" s="7">
        <f>S110-Q110</f>
        <v/>
      </c>
      <c r="V110" s="1" t="n"/>
      <c r="W110" s="9">
        <f>S110-R110</f>
        <v/>
      </c>
      <c r="X110" s="9" t="n"/>
      <c r="AJ110" s="1" t="inlineStr">
        <is>
          <t>Cirugía Oncológica - Resección hepática</t>
        </is>
      </c>
      <c r="AM110">
        <f>_xlfn.TEXTJOIN(" + ", TRUE, I110:M110)</f>
        <v/>
      </c>
    </row>
    <row r="111">
      <c r="A111" s="23" t="n"/>
      <c r="B111" s="1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7">
        <f>R111-Q111</f>
        <v/>
      </c>
      <c r="U111" s="7">
        <f>S111-Q111</f>
        <v/>
      </c>
      <c r="V111" s="1" t="n"/>
      <c r="W111" s="9">
        <f>S111-R111</f>
        <v/>
      </c>
      <c r="X111" s="9" t="n"/>
      <c r="AJ111" s="1" t="inlineStr">
        <is>
          <t>Cirugía Oncológica - Tiroidectomía oncológica</t>
        </is>
      </c>
      <c r="AM111">
        <f>_xlfn.TEXTJOIN(" + ", TRUE, I111:M111)</f>
        <v/>
      </c>
    </row>
    <row r="112">
      <c r="A112" s="23" t="n"/>
      <c r="B112" s="1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7">
        <f>R112-Q112</f>
        <v/>
      </c>
      <c r="U112" s="7">
        <f>S112-Q112</f>
        <v/>
      </c>
      <c r="V112" s="1" t="n"/>
      <c r="W112" s="9">
        <f>S112-R112</f>
        <v/>
      </c>
      <c r="X112" s="9" t="n"/>
      <c r="AJ112" s="1" t="inlineStr">
        <is>
          <t>Cirugía Oncológica - Tumorectomía</t>
        </is>
      </c>
      <c r="AM112">
        <f>_xlfn.TEXTJOIN(" + ", TRUE, I112:M112)</f>
        <v/>
      </c>
    </row>
    <row r="113">
      <c r="A113" s="23" t="n"/>
      <c r="B113" s="1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7">
        <f>R113-Q113</f>
        <v/>
      </c>
      <c r="U113" s="7">
        <f>S113-Q113</f>
        <v/>
      </c>
      <c r="V113" s="1" t="n"/>
      <c r="W113" s="9">
        <f>S113-R113</f>
        <v/>
      </c>
      <c r="X113" s="9" t="n"/>
      <c r="AJ113" s="1" t="inlineStr">
        <is>
          <t>Cirugía Oral y Maxilofacial - Colocación de arco de Erich</t>
        </is>
      </c>
      <c r="AM113">
        <f>_xlfn.TEXTJOIN(" + ", TRUE, I113:M113)</f>
        <v/>
      </c>
    </row>
    <row r="114">
      <c r="A114" s="23" t="n"/>
      <c r="B114" s="1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7">
        <f>R114-Q114</f>
        <v/>
      </c>
      <c r="U114" s="7">
        <f>S114-Q114</f>
        <v/>
      </c>
      <c r="V114" s="1" t="n"/>
      <c r="W114" s="9">
        <f>S114-R114</f>
        <v/>
      </c>
      <c r="X114" s="9" t="n"/>
      <c r="AJ114" s="1" t="inlineStr">
        <is>
          <t>Cirugía Pediátrica - Apendicectomía pediátrica</t>
        </is>
      </c>
      <c r="AM114">
        <f>_xlfn.TEXTJOIN(" + ", TRUE, I114:M114)</f>
        <v/>
      </c>
    </row>
    <row r="115">
      <c r="A115" s="23" t="n"/>
      <c r="B115" s="1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7">
        <f>R115-Q115</f>
        <v/>
      </c>
      <c r="U115" s="7">
        <f>S115-Q115</f>
        <v/>
      </c>
      <c r="V115" s="1" t="n"/>
      <c r="W115" s="9">
        <f>S115-R115</f>
        <v/>
      </c>
      <c r="X115" s="9" t="n"/>
      <c r="AJ115" s="1" t="inlineStr">
        <is>
          <t>Cirugía Pediátrica - Atresias intestinales</t>
        </is>
      </c>
      <c r="AM115">
        <f>_xlfn.TEXTJOIN(" + ", TRUE, I115:M115)</f>
        <v/>
      </c>
    </row>
    <row r="116">
      <c r="A116" s="23" t="n"/>
      <c r="B116" s="1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7">
        <f>R116-Q116</f>
        <v/>
      </c>
      <c r="U116" s="7">
        <f>S116-Q116</f>
        <v/>
      </c>
      <c r="V116" s="1" t="n"/>
      <c r="W116" s="9">
        <f>S116-R116</f>
        <v/>
      </c>
      <c r="X116" s="9" t="n"/>
      <c r="AJ116" s="1" t="inlineStr">
        <is>
          <t>Cirugía Pediátrica - Circuncisión</t>
        </is>
      </c>
      <c r="AM116">
        <f>_xlfn.TEXTJOIN(" + ", TRUE, I116:M116)</f>
        <v/>
      </c>
    </row>
    <row r="117">
      <c r="A117" s="23" t="n"/>
      <c r="B117" s="1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7">
        <f>R117-Q117</f>
        <v/>
      </c>
      <c r="U117" s="7">
        <f>S117-Q117</f>
        <v/>
      </c>
      <c r="V117" s="1" t="n"/>
      <c r="W117" s="9">
        <f>S117-R117</f>
        <v/>
      </c>
      <c r="X117" s="9" t="n"/>
      <c r="AJ117" s="1" t="inlineStr">
        <is>
          <t>Cirugía Pediátrica - Corrección de atresia intestinal</t>
        </is>
      </c>
      <c r="AM117">
        <f>_xlfn.TEXTJOIN(" + ", TRUE, I117:M117)</f>
        <v/>
      </c>
    </row>
    <row r="118">
      <c r="A118" s="23" t="n"/>
      <c r="B118" s="1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7">
        <f>R118-Q118</f>
        <v/>
      </c>
      <c r="U118" s="7">
        <f>S118-Q118</f>
        <v/>
      </c>
      <c r="V118" s="1" t="n"/>
      <c r="W118" s="9">
        <f>S118-R118</f>
        <v/>
      </c>
      <c r="X118" s="9" t="n"/>
      <c r="AJ118" s="1" t="inlineStr">
        <is>
          <t>Cirugía Pediátrica - Corrección de labio y paladar hendido</t>
        </is>
      </c>
      <c r="AM118">
        <f>_xlfn.TEXTJOIN(" + ", TRUE, I118:M118)</f>
        <v/>
      </c>
    </row>
    <row r="119">
      <c r="A119" s="23" t="n"/>
      <c r="B119" s="1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7">
        <f>R119-Q119</f>
        <v/>
      </c>
      <c r="U119" s="7">
        <f>S119-Q119</f>
        <v/>
      </c>
      <c r="V119" s="1" t="n"/>
      <c r="W119" s="9">
        <f>S119-R119</f>
        <v/>
      </c>
      <c r="X119" s="9" t="n"/>
      <c r="AJ119" s="1" t="inlineStr">
        <is>
          <t>Cirugía Pediátrica - Estenosis pilórica</t>
        </is>
      </c>
      <c r="AM119">
        <f>_xlfn.TEXTJOIN(" + ", TRUE, I119:M119)</f>
        <v/>
      </c>
    </row>
    <row r="120">
      <c r="A120" s="23" t="n"/>
      <c r="B120" s="1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7">
        <f>R120-Q120</f>
        <v/>
      </c>
      <c r="U120" s="7">
        <f>S120-Q120</f>
        <v/>
      </c>
      <c r="V120" s="1" t="n"/>
      <c r="W120" s="9">
        <f>S120-R120</f>
        <v/>
      </c>
      <c r="X120" s="9" t="n"/>
      <c r="AJ120" s="1" t="inlineStr">
        <is>
          <t>Cirugía Pediátrica - Gastrostomía pediátrica</t>
        </is>
      </c>
      <c r="AM120">
        <f>_xlfn.TEXTJOIN(" + ", TRUE, I120:M120)</f>
        <v/>
      </c>
    </row>
    <row r="121">
      <c r="A121" s="23" t="n"/>
      <c r="B121" s="1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7">
        <f>R121-Q121</f>
        <v/>
      </c>
      <c r="U121" s="7">
        <f>S121-Q121</f>
        <v/>
      </c>
      <c r="V121" s="1" t="n"/>
      <c r="W121" s="9">
        <f>S121-R121</f>
        <v/>
      </c>
      <c r="X121" s="9" t="n"/>
      <c r="AJ121" s="1" t="inlineStr">
        <is>
          <t>Cirugía Pediátrica - Herniorrafia inguinal pediátrica</t>
        </is>
      </c>
      <c r="AM121">
        <f>_xlfn.TEXTJOIN(" + ", TRUE, I121:M121)</f>
        <v/>
      </c>
    </row>
    <row r="122">
      <c r="A122" s="23" t="n"/>
      <c r="B122" s="1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7">
        <f>R122-Q122</f>
        <v/>
      </c>
      <c r="U122" s="7">
        <f>S122-Q122</f>
        <v/>
      </c>
      <c r="V122" s="1" t="n"/>
      <c r="W122" s="9">
        <f>S122-R122</f>
        <v/>
      </c>
      <c r="X122" s="9" t="n"/>
      <c r="AJ122" s="1" t="inlineStr">
        <is>
          <t>Cirugía Pediátrica - Invaginación intestinal</t>
        </is>
      </c>
      <c r="AM122">
        <f>_xlfn.TEXTJOIN(" + ", TRUE, I122:M122)</f>
        <v/>
      </c>
    </row>
    <row r="123">
      <c r="A123" s="23" t="n"/>
      <c r="B123" s="1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7">
        <f>R123-Q123</f>
        <v/>
      </c>
      <c r="U123" s="7">
        <f>S123-Q123</f>
        <v/>
      </c>
      <c r="V123" s="1" t="n"/>
      <c r="W123" s="9">
        <f>S123-R123</f>
        <v/>
      </c>
      <c r="X123" s="9" t="n"/>
      <c r="AJ123" s="1" t="inlineStr">
        <is>
          <t>Cirugía Pediátrica - Malformaciones anorrectales</t>
        </is>
      </c>
      <c r="AM123">
        <f>_xlfn.TEXTJOIN(" + ", TRUE, I123:M123)</f>
        <v/>
      </c>
    </row>
    <row r="124">
      <c r="A124" s="23" t="n"/>
      <c r="B124" s="1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7">
        <f>R124-Q124</f>
        <v/>
      </c>
      <c r="U124" s="7">
        <f>S124-Q124</f>
        <v/>
      </c>
      <c r="V124" s="1" t="n"/>
      <c r="W124" s="9">
        <f>S124-R124</f>
        <v/>
      </c>
      <c r="X124" s="9" t="n"/>
      <c r="AJ124" s="1" t="inlineStr">
        <is>
          <t>Cirugía Pediátrica - Malformaciones congénitas</t>
        </is>
      </c>
      <c r="AM124">
        <f>_xlfn.TEXTJOIN(" + ", TRUE, I124:M124)</f>
        <v/>
      </c>
    </row>
    <row r="125">
      <c r="A125" s="23" t="n"/>
      <c r="B125" s="1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7">
        <f>R125-Q125</f>
        <v/>
      </c>
      <c r="U125" s="7">
        <f>S125-Q125</f>
        <v/>
      </c>
      <c r="V125" s="1" t="n"/>
      <c r="W125" s="9">
        <f>S125-R125</f>
        <v/>
      </c>
      <c r="X125" s="9" t="n"/>
      <c r="AJ125" s="1" t="inlineStr">
        <is>
          <t>Cirugía Pediátrica - Orquidopexia</t>
        </is>
      </c>
      <c r="AM125">
        <f>_xlfn.TEXTJOIN(" + ", TRUE, I125:M125)</f>
        <v/>
      </c>
    </row>
    <row r="126">
      <c r="A126" s="23" t="n"/>
      <c r="B126" s="1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7">
        <f>R126-Q126</f>
        <v/>
      </c>
      <c r="U126" s="7">
        <f>S126-Q126</f>
        <v/>
      </c>
      <c r="V126" s="1" t="n"/>
      <c r="W126" s="9">
        <f>S126-R126</f>
        <v/>
      </c>
      <c r="X126" s="9" t="n"/>
      <c r="AJ126" s="1" t="inlineStr">
        <is>
          <t>Cirugía Pediátrica - Piloromiotomía</t>
        </is>
      </c>
      <c r="AM126">
        <f>_xlfn.TEXTJOIN(" + ", TRUE, I126:M126)</f>
        <v/>
      </c>
    </row>
    <row r="127">
      <c r="A127" s="23" t="n"/>
      <c r="B127" s="1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7">
        <f>R127-Q127</f>
        <v/>
      </c>
      <c r="U127" s="7">
        <f>S127-Q127</f>
        <v/>
      </c>
      <c r="V127" s="1" t="n"/>
      <c r="W127" s="9">
        <f>S127-R127</f>
        <v/>
      </c>
      <c r="X127" s="9" t="n"/>
      <c r="AJ127" s="1" t="inlineStr">
        <is>
          <t>Cirugía Plástica y Reconstructiva - Abdominoplastia</t>
        </is>
      </c>
      <c r="AM127">
        <f>_xlfn.TEXTJOIN(" + ", TRUE, I127:M127)</f>
        <v/>
      </c>
    </row>
    <row r="128">
      <c r="A128" s="23" t="n"/>
      <c r="B128" s="1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7">
        <f>R128-Q128</f>
        <v/>
      </c>
      <c r="U128" s="7">
        <f>S128-Q128</f>
        <v/>
      </c>
      <c r="V128" s="1" t="n"/>
      <c r="W128" s="9">
        <f>S128-R128</f>
        <v/>
      </c>
      <c r="X128" s="9" t="n"/>
      <c r="AJ128" s="1" t="inlineStr">
        <is>
          <t>Cirugía Plástica y Reconstructiva - Blefaroplastia</t>
        </is>
      </c>
      <c r="AM128">
        <f>_xlfn.TEXTJOIN(" + ", TRUE, I128:M128)</f>
        <v/>
      </c>
    </row>
    <row r="129">
      <c r="A129" s="23" t="n"/>
      <c r="B129" s="1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7">
        <f>R129-Q129</f>
        <v/>
      </c>
      <c r="U129" s="7">
        <f>S129-Q129</f>
        <v/>
      </c>
      <c r="V129" s="1" t="n"/>
      <c r="W129" s="9">
        <f>S129-R129</f>
        <v/>
      </c>
      <c r="X129" s="9" t="n"/>
      <c r="AJ129" s="1" t="inlineStr">
        <is>
          <t>Cirugía Plástica y Reconstructiva - Colgajo cutáneo</t>
        </is>
      </c>
      <c r="AM129">
        <f>_xlfn.TEXTJOIN(" + ", TRUE, I129:M129)</f>
        <v/>
      </c>
    </row>
    <row r="130">
      <c r="A130" s="23" t="n"/>
      <c r="B130" s="1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7">
        <f>R130-Q130</f>
        <v/>
      </c>
      <c r="U130" s="7">
        <f>S130-Q130</f>
        <v/>
      </c>
      <c r="V130" s="1" t="n"/>
      <c r="W130" s="9">
        <f>S130-R130</f>
        <v/>
      </c>
      <c r="X130" s="9" t="n"/>
      <c r="AJ130" s="1" t="inlineStr">
        <is>
          <t>Cirugía Plástica y Reconstructiva - Injerto de piel</t>
        </is>
      </c>
      <c r="AM130">
        <f>_xlfn.TEXTJOIN(" + ", TRUE, I130:M130)</f>
        <v/>
      </c>
    </row>
    <row r="131">
      <c r="A131" s="23" t="n"/>
      <c r="B131" s="1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7">
        <f>R131-Q131</f>
        <v/>
      </c>
      <c r="U131" s="7">
        <f>S131-Q131</f>
        <v/>
      </c>
      <c r="V131" s="1" t="n"/>
      <c r="W131" s="9">
        <f>S131-R131</f>
        <v/>
      </c>
      <c r="X131" s="9" t="n"/>
      <c r="AJ131" s="1" t="inlineStr">
        <is>
          <t>Cirugía Plástica y Reconstructiva - Lavado y desbridamiento por quemadura</t>
        </is>
      </c>
      <c r="AM131">
        <f>_xlfn.TEXTJOIN(" + ", TRUE, I131:M131)</f>
        <v/>
      </c>
    </row>
    <row r="132">
      <c r="A132" s="23" t="n"/>
      <c r="B132" s="1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7">
        <f>R132-Q132</f>
        <v/>
      </c>
      <c r="U132" s="7">
        <f>S132-Q132</f>
        <v/>
      </c>
      <c r="V132" s="1" t="n"/>
      <c r="W132" s="9">
        <f>S132-R132</f>
        <v/>
      </c>
      <c r="X132" s="9" t="n"/>
      <c r="AJ132" s="1" t="inlineStr">
        <is>
          <t>Cirugía Plástica y Reconstructiva - Mamoplastia reductora</t>
        </is>
      </c>
      <c r="AM132">
        <f>_xlfn.TEXTJOIN(" + ", TRUE, I132:M132)</f>
        <v/>
      </c>
    </row>
    <row r="133">
      <c r="A133" s="23" t="n"/>
      <c r="B133" s="1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7">
        <f>R133-Q133</f>
        <v/>
      </c>
      <c r="U133" s="7">
        <f>S133-Q133</f>
        <v/>
      </c>
      <c r="V133" s="1" t="n"/>
      <c r="W133" s="9">
        <f>S133-R133</f>
        <v/>
      </c>
      <c r="X133" s="9" t="n"/>
      <c r="AJ133" s="1" t="inlineStr">
        <is>
          <t>Cirugía Plástica y Reconstructiva - Manejo de quemaduras</t>
        </is>
      </c>
      <c r="AM133">
        <f>_xlfn.TEXTJOIN(" + ", TRUE, I133:M133)</f>
        <v/>
      </c>
    </row>
    <row r="134">
      <c r="A134" s="23" t="n"/>
      <c r="B134" s="1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7">
        <f>R134-Q134</f>
        <v/>
      </c>
      <c r="U134" s="7">
        <f>S134-Q134</f>
        <v/>
      </c>
      <c r="V134" s="1" t="n"/>
      <c r="W134" s="9">
        <f>S134-R134</f>
        <v/>
      </c>
      <c r="X134" s="9" t="n"/>
      <c r="AJ134" s="1" t="inlineStr">
        <is>
          <t>Cirugía Plástica y Reconstructiva - Otoplastia</t>
        </is>
      </c>
      <c r="AM134">
        <f>_xlfn.TEXTJOIN(" + ", TRUE, I134:M134)</f>
        <v/>
      </c>
    </row>
    <row r="135">
      <c r="A135" s="23" t="n"/>
      <c r="B135" s="1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7">
        <f>R135-Q135</f>
        <v/>
      </c>
      <c r="U135" s="7">
        <f>S135-Q135</f>
        <v/>
      </c>
      <c r="V135" s="1" t="n"/>
      <c r="W135" s="9">
        <f>S135-R135</f>
        <v/>
      </c>
      <c r="X135" s="9" t="n"/>
      <c r="AJ135" s="1" t="inlineStr">
        <is>
          <t>Cirugía Plástica y Reconstructiva - Reconstrucción facial</t>
        </is>
      </c>
      <c r="AM135">
        <f>_xlfn.TEXTJOIN(" + ", TRUE, I135:M135)</f>
        <v/>
      </c>
    </row>
    <row r="136">
      <c r="A136" s="23" t="n"/>
      <c r="B136" s="1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7">
        <f>R136-Q136</f>
        <v/>
      </c>
      <c r="U136" s="7">
        <f>S136-Q136</f>
        <v/>
      </c>
      <c r="V136" s="1" t="n"/>
      <c r="W136" s="9">
        <f>S136-R136</f>
        <v/>
      </c>
      <c r="X136" s="9" t="n"/>
      <c r="AJ136" s="1" t="inlineStr">
        <is>
          <t>Cirugía Plástica y Reconstructiva - Reconstrucción mamaria</t>
        </is>
      </c>
      <c r="AM136">
        <f>_xlfn.TEXTJOIN(" + ", TRUE, I136:M136)</f>
        <v/>
      </c>
    </row>
    <row r="137">
      <c r="A137" s="23" t="n"/>
      <c r="B137" s="1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7">
        <f>R137-Q137</f>
        <v/>
      </c>
      <c r="U137" s="7">
        <f>S137-Q137</f>
        <v/>
      </c>
      <c r="V137" s="1" t="n"/>
      <c r="W137" s="9">
        <f>S137-R137</f>
        <v/>
      </c>
      <c r="X137" s="9" t="n"/>
      <c r="AJ137" s="1" t="inlineStr">
        <is>
          <t>Cirugía Plástica y Reconstructiva - Reparación de lesiones complejas</t>
        </is>
      </c>
      <c r="AM137">
        <f>_xlfn.TEXTJOIN(" + ", TRUE, I137:M137)</f>
        <v/>
      </c>
    </row>
    <row r="138">
      <c r="A138" s="23" t="n"/>
      <c r="B138" s="1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7">
        <f>R138-Q138</f>
        <v/>
      </c>
      <c r="U138" s="7">
        <f>S138-Q138</f>
        <v/>
      </c>
      <c r="V138" s="1" t="n"/>
      <c r="W138" s="9">
        <f>S138-R138</f>
        <v/>
      </c>
      <c r="X138" s="9" t="n"/>
      <c r="AJ138" s="1" t="inlineStr">
        <is>
          <t>Cirugía Torácica - Decorticación pleural</t>
        </is>
      </c>
      <c r="AM138">
        <f>_xlfn.TEXTJOIN(" + ", TRUE, I138:M138)</f>
        <v/>
      </c>
    </row>
    <row r="139">
      <c r="A139" s="23" t="n"/>
      <c r="B139" s="1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7">
        <f>R139-Q139</f>
        <v/>
      </c>
      <c r="U139" s="7">
        <f>S139-Q139</f>
        <v/>
      </c>
      <c r="V139" s="1" t="n"/>
      <c r="W139" s="9">
        <f>S139-R139</f>
        <v/>
      </c>
      <c r="X139" s="9" t="n"/>
      <c r="AJ139" s="1" t="inlineStr">
        <is>
          <t>Cirugía Torácica - Decorticación pulmonar</t>
        </is>
      </c>
      <c r="AM139">
        <f>_xlfn.TEXTJOIN(" + ", TRUE, I139:M139)</f>
        <v/>
      </c>
    </row>
    <row r="140">
      <c r="A140" s="23" t="n"/>
      <c r="B140" s="1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7">
        <f>R140-Q140</f>
        <v/>
      </c>
      <c r="U140" s="7">
        <f>S140-Q140</f>
        <v/>
      </c>
      <c r="V140" s="1" t="n"/>
      <c r="W140" s="9">
        <f>S140-R140</f>
        <v/>
      </c>
      <c r="X140" s="9" t="n"/>
      <c r="AJ140" s="1" t="inlineStr">
        <is>
          <t>Cirugía Torácica - Drenaje torácico</t>
        </is>
      </c>
      <c r="AM140">
        <f>_xlfn.TEXTJOIN(" + ", TRUE, I140:M140)</f>
        <v/>
      </c>
    </row>
    <row r="141">
      <c r="A141" s="23" t="n"/>
      <c r="B141" s="1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7">
        <f>R141-Q141</f>
        <v/>
      </c>
      <c r="U141" s="7">
        <f>S141-Q141</f>
        <v/>
      </c>
      <c r="V141" s="1" t="n"/>
      <c r="W141" s="9">
        <f>S141-R141</f>
        <v/>
      </c>
      <c r="X141" s="9" t="n"/>
      <c r="AJ141" s="1" t="inlineStr">
        <is>
          <t>Cirugía Torácica - Lobectomía pulmonar</t>
        </is>
      </c>
      <c r="AM141">
        <f>_xlfn.TEXTJOIN(" + ", TRUE, I141:M141)</f>
        <v/>
      </c>
    </row>
    <row r="142">
      <c r="A142" s="23" t="n"/>
      <c r="B142" s="1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7">
        <f>R142-Q142</f>
        <v/>
      </c>
      <c r="U142" s="7">
        <f>S142-Q142</f>
        <v/>
      </c>
      <c r="V142" s="1" t="n"/>
      <c r="W142" s="9">
        <f>S142-R142</f>
        <v/>
      </c>
      <c r="X142" s="9" t="n"/>
      <c r="AJ142" s="1" t="inlineStr">
        <is>
          <t>Cirugía Torácica - Mediastinoscopia</t>
        </is>
      </c>
      <c r="AM142">
        <f>_xlfn.TEXTJOIN(" + ", TRUE, I142:M142)</f>
        <v/>
      </c>
    </row>
    <row r="143">
      <c r="A143" s="23" t="n"/>
      <c r="B143" s="1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7">
        <f>R143-Q143</f>
        <v/>
      </c>
      <c r="U143" s="7">
        <f>S143-Q143</f>
        <v/>
      </c>
      <c r="V143" s="1" t="n"/>
      <c r="W143" s="9">
        <f>S143-R143</f>
        <v/>
      </c>
      <c r="X143" s="9" t="n"/>
      <c r="AJ143" s="1" t="inlineStr">
        <is>
          <t>Cirugía Torácica - Neumonectomía</t>
        </is>
      </c>
      <c r="AM143">
        <f>_xlfn.TEXTJOIN(" + ", TRUE, I143:M143)</f>
        <v/>
      </c>
    </row>
    <row r="144">
      <c r="A144" s="23" t="n"/>
      <c r="B144" s="1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7">
        <f>R144-Q144</f>
        <v/>
      </c>
      <c r="U144" s="7">
        <f>S144-Q144</f>
        <v/>
      </c>
      <c r="V144" s="1" t="n"/>
      <c r="W144" s="9">
        <f>S144-R144</f>
        <v/>
      </c>
      <c r="X144" s="9" t="n"/>
      <c r="AJ144" s="1" t="inlineStr">
        <is>
          <t>Cirugía Torácica - Pleurodesis</t>
        </is>
      </c>
      <c r="AM144">
        <f>_xlfn.TEXTJOIN(" + ", TRUE, I144:M144)</f>
        <v/>
      </c>
    </row>
    <row r="145">
      <c r="A145" s="23" t="n"/>
      <c r="B145" s="1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7">
        <f>R145-Q145</f>
        <v/>
      </c>
      <c r="U145" s="7">
        <f>S145-Q145</f>
        <v/>
      </c>
      <c r="V145" s="1" t="n"/>
      <c r="W145" s="9">
        <f>S145-R145</f>
        <v/>
      </c>
      <c r="X145" s="9" t="n"/>
      <c r="AJ145" s="1" t="inlineStr">
        <is>
          <t>Cirugía Torácica - Resección de tumores mediastinales</t>
        </is>
      </c>
      <c r="AM145">
        <f>_xlfn.TEXTJOIN(" + ", TRUE, I145:M145)</f>
        <v/>
      </c>
    </row>
    <row r="146">
      <c r="A146" s="23" t="n"/>
      <c r="B146" s="1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7">
        <f>R146-Q146</f>
        <v/>
      </c>
      <c r="U146" s="7">
        <f>S146-Q146</f>
        <v/>
      </c>
      <c r="V146" s="1" t="n"/>
      <c r="W146" s="9">
        <f>S146-R146</f>
        <v/>
      </c>
      <c r="X146" s="9" t="n"/>
      <c r="AJ146" s="1" t="inlineStr">
        <is>
          <t>Cirugía Torácica - Toracotomía</t>
        </is>
      </c>
      <c r="AM146">
        <f>_xlfn.TEXTJOIN(" + ", TRUE, I146:M146)</f>
        <v/>
      </c>
    </row>
    <row r="147">
      <c r="A147" s="23" t="n"/>
      <c r="B147" s="1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7">
        <f>R147-Q147</f>
        <v/>
      </c>
      <c r="U147" s="7">
        <f>S147-Q147</f>
        <v/>
      </c>
      <c r="V147" s="1" t="n"/>
      <c r="W147" s="9">
        <f>S147-R147</f>
        <v/>
      </c>
      <c r="X147" s="9" t="n"/>
      <c r="AJ147" s="1" t="inlineStr">
        <is>
          <t>Cirugía Vascular - Bypass femoropoplíteo</t>
        </is>
      </c>
      <c r="AM147">
        <f>_xlfn.TEXTJOIN(" + ", TRUE, I147:M147)</f>
        <v/>
      </c>
    </row>
    <row r="148">
      <c r="A148" s="23" t="n"/>
      <c r="B148" s="1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7">
        <f>R148-Q148</f>
        <v/>
      </c>
      <c r="U148" s="7">
        <f>S148-Q148</f>
        <v/>
      </c>
      <c r="V148" s="1" t="n"/>
      <c r="W148" s="9">
        <f>S148-R148</f>
        <v/>
      </c>
      <c r="X148" s="9" t="n"/>
      <c r="AJ148" s="1" t="inlineStr">
        <is>
          <t>Cirugía Vascular - Embolectomía</t>
        </is>
      </c>
      <c r="AM148">
        <f>_xlfn.TEXTJOIN(" + ", TRUE, I148:M148)</f>
        <v/>
      </c>
    </row>
    <row r="149">
      <c r="A149" s="23" t="n"/>
      <c r="B149" s="1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7">
        <f>R149-Q149</f>
        <v/>
      </c>
      <c r="U149" s="7">
        <f>S149-Q149</f>
        <v/>
      </c>
      <c r="V149" s="1" t="n"/>
      <c r="W149" s="9">
        <f>S149-R149</f>
        <v/>
      </c>
      <c r="X149" s="9" t="n"/>
      <c r="AJ149" s="1" t="inlineStr">
        <is>
          <t>Cirugía Vascular - Fístula arteriovenosa</t>
        </is>
      </c>
      <c r="AM149">
        <f>_xlfn.TEXTJOIN(" + ", TRUE, I149:M149)</f>
        <v/>
      </c>
    </row>
    <row r="150">
      <c r="A150" s="23" t="n"/>
      <c r="B150" s="1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7">
        <f>R150-Q150</f>
        <v/>
      </c>
      <c r="U150" s="7">
        <f>S150-Q150</f>
        <v/>
      </c>
      <c r="V150" s="1" t="n"/>
      <c r="W150" s="9">
        <f>S150-R150</f>
        <v/>
      </c>
      <c r="X150" s="9" t="n"/>
      <c r="AJ150" s="1" t="inlineStr">
        <is>
          <t>Cirugía Vascular - Reparación vascular</t>
        </is>
      </c>
      <c r="AM150">
        <f>_xlfn.TEXTJOIN(" + ", TRUE, I150:M150)</f>
        <v/>
      </c>
    </row>
    <row r="151">
      <c r="A151" s="23" t="n"/>
      <c r="B151" s="1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7">
        <f>R151-Q151</f>
        <v/>
      </c>
      <c r="U151" s="7">
        <f>S151-Q151</f>
        <v/>
      </c>
      <c r="V151" s="1" t="n"/>
      <c r="W151" s="9">
        <f>S151-R151</f>
        <v/>
      </c>
      <c r="X151" s="9" t="n"/>
      <c r="AJ151" s="1" t="inlineStr">
        <is>
          <t>Cirugía Vascular - Trombectomía</t>
        </is>
      </c>
      <c r="AM151">
        <f>_xlfn.TEXTJOIN(" + ", TRUE, I151:M151)</f>
        <v/>
      </c>
    </row>
    <row r="152">
      <c r="A152" s="23" t="n"/>
      <c r="B152" s="1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7">
        <f>R152-Q152</f>
        <v/>
      </c>
      <c r="U152" s="7">
        <f>S152-Q152</f>
        <v/>
      </c>
      <c r="V152" s="1" t="n"/>
      <c r="W152" s="9">
        <f>S152-R152</f>
        <v/>
      </c>
      <c r="X152" s="9" t="n"/>
      <c r="AJ152" s="1" t="inlineStr">
        <is>
          <t>Cirugía Vascular - Varicectomía</t>
        </is>
      </c>
      <c r="AM152">
        <f>_xlfn.TEXTJOIN(" + ", TRUE, I152:M152)</f>
        <v/>
      </c>
    </row>
    <row r="153">
      <c r="A153" s="23" t="n"/>
      <c r="B153" s="1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7">
        <f>R153-Q153</f>
        <v/>
      </c>
      <c r="U153" s="7">
        <f>S153-Q153</f>
        <v/>
      </c>
      <c r="V153" s="1" t="n"/>
      <c r="W153" s="9">
        <f>S153-R153</f>
        <v/>
      </c>
      <c r="X153" s="9" t="n"/>
      <c r="AJ153" s="1" t="inlineStr">
        <is>
          <t>Gastroenterología - Gastroscopía</t>
        </is>
      </c>
      <c r="AM153">
        <f>_xlfn.TEXTJOIN(" + ", TRUE, I153:M153)</f>
        <v/>
      </c>
    </row>
    <row r="154">
      <c r="A154" s="23" t="n"/>
      <c r="B154" s="1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7">
        <f>R154-Q154</f>
        <v/>
      </c>
      <c r="U154" s="7">
        <f>S154-Q154</f>
        <v/>
      </c>
      <c r="V154" s="1" t="n"/>
      <c r="W154" s="9">
        <f>S154-R154</f>
        <v/>
      </c>
      <c r="X154" s="9" t="n"/>
      <c r="AJ154" s="1" t="inlineStr">
        <is>
          <t>Ginecología y Obstetricia - Aspiración manual endouterina</t>
        </is>
      </c>
      <c r="AM154">
        <f>_xlfn.TEXTJOIN(" + ", TRUE, I154:M154)</f>
        <v/>
      </c>
    </row>
    <row r="155">
      <c r="A155" s="23" t="n"/>
      <c r="B155" s="1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7">
        <f>R155-Q155</f>
        <v/>
      </c>
      <c r="U155" s="7">
        <f>S155-Q155</f>
        <v/>
      </c>
      <c r="V155" s="1" t="n"/>
      <c r="W155" s="9">
        <f>S155-R155</f>
        <v/>
      </c>
      <c r="X155" s="9" t="n"/>
      <c r="AJ155" s="1" t="inlineStr">
        <is>
          <t>Ginecología y Obstetricia - Biopsia cervical</t>
        </is>
      </c>
      <c r="AM155">
        <f>_xlfn.TEXTJOIN(" + ", TRUE, I155:M155)</f>
        <v/>
      </c>
    </row>
    <row r="156">
      <c r="A156" s="23" t="n"/>
      <c r="B156" s="1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7">
        <f>R156-Q156</f>
        <v/>
      </c>
      <c r="U156" s="7">
        <f>S156-Q156</f>
        <v/>
      </c>
      <c r="V156" s="1" t="n"/>
      <c r="W156" s="9">
        <f>S156-R156</f>
        <v/>
      </c>
      <c r="X156" s="9" t="n"/>
      <c r="AJ156" s="1" t="inlineStr">
        <is>
          <t>Ginecología y Obstetricia - Cerclaje cervical</t>
        </is>
      </c>
      <c r="AM156">
        <f>_xlfn.TEXTJOIN(" + ", TRUE, I156:M156)</f>
        <v/>
      </c>
    </row>
    <row r="157">
      <c r="A157" s="23" t="n"/>
      <c r="B157" s="1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7">
        <f>R157-Q157</f>
        <v/>
      </c>
      <c r="U157" s="7">
        <f>S157-Q157</f>
        <v/>
      </c>
      <c r="V157" s="1" t="n"/>
      <c r="W157" s="9">
        <f>S157-R157</f>
        <v/>
      </c>
      <c r="X157" s="9" t="n"/>
      <c r="AJ157" s="1" t="inlineStr">
        <is>
          <t>Ginecología y Obstetricia - Cesárea</t>
        </is>
      </c>
      <c r="AM157">
        <f>_xlfn.TEXTJOIN(" + ", TRUE, I157:M157)</f>
        <v/>
      </c>
    </row>
    <row r="158">
      <c r="A158" s="23" t="n"/>
      <c r="B158" s="1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7">
        <f>R158-Q158</f>
        <v/>
      </c>
      <c r="U158" s="7">
        <f>S158-Q158</f>
        <v/>
      </c>
      <c r="V158" s="1" t="n"/>
      <c r="W158" s="9">
        <f>S158-R158</f>
        <v/>
      </c>
      <c r="X158" s="9" t="n"/>
      <c r="AJ158" s="1" t="inlineStr">
        <is>
          <t>Ginecología y Obstetricia - Cirugía por prolapso genital</t>
        </is>
      </c>
      <c r="AM158">
        <f>_xlfn.TEXTJOIN(" + ", TRUE, I158:M158)</f>
        <v/>
      </c>
    </row>
    <row r="159">
      <c r="A159" s="23" t="n"/>
      <c r="B159" s="1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7">
        <f>R159-Q159</f>
        <v/>
      </c>
      <c r="U159" s="7">
        <f>S159-Q159</f>
        <v/>
      </c>
      <c r="V159" s="1" t="n"/>
      <c r="W159" s="9">
        <f>S159-R159</f>
        <v/>
      </c>
      <c r="X159" s="9" t="n"/>
      <c r="AJ159" s="1" t="inlineStr">
        <is>
          <t>Ginecología y Obstetricia - Colporrafia anterior</t>
        </is>
      </c>
      <c r="AM159">
        <f>_xlfn.TEXTJOIN(" + ", TRUE, I159:M159)</f>
        <v/>
      </c>
    </row>
    <row r="160">
      <c r="A160" s="23" t="n"/>
      <c r="B160" s="1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7">
        <f>R160-Q160</f>
        <v/>
      </c>
      <c r="U160" s="7">
        <f>S160-Q160</f>
        <v/>
      </c>
      <c r="V160" s="1" t="n"/>
      <c r="W160" s="9">
        <f>S160-R160</f>
        <v/>
      </c>
      <c r="X160" s="9" t="n"/>
      <c r="AJ160" s="1" t="inlineStr">
        <is>
          <t>Ginecología y Obstetricia - Colporrafia posterior</t>
        </is>
      </c>
      <c r="AM160">
        <f>_xlfn.TEXTJOIN(" + ", TRUE, I160:M160)</f>
        <v/>
      </c>
    </row>
    <row r="161">
      <c r="A161" s="23" t="n"/>
      <c r="B161" s="1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7">
        <f>R161-Q161</f>
        <v/>
      </c>
      <c r="U161" s="7">
        <f>S161-Q161</f>
        <v/>
      </c>
      <c r="V161" s="1" t="n"/>
      <c r="W161" s="9">
        <f>S161-R161</f>
        <v/>
      </c>
      <c r="X161" s="9" t="n"/>
      <c r="AJ161" s="1" t="inlineStr">
        <is>
          <t>Ginecología y Obstetricia - Conización cervical</t>
        </is>
      </c>
      <c r="AM161">
        <f>_xlfn.TEXTJOIN(" + ", TRUE, I161:M161)</f>
        <v/>
      </c>
    </row>
    <row r="162">
      <c r="A162" s="23" t="n"/>
      <c r="B162" s="1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7">
        <f>R162-Q162</f>
        <v/>
      </c>
      <c r="U162" s="7">
        <f>S162-Q162</f>
        <v/>
      </c>
      <c r="V162" s="1" t="n"/>
      <c r="W162" s="9">
        <f>S162-R162</f>
        <v/>
      </c>
      <c r="X162" s="9" t="n"/>
      <c r="AJ162" s="1" t="inlineStr">
        <is>
          <t>Ginecología y Obstetricia - Embarazo ectópico</t>
        </is>
      </c>
      <c r="AM162">
        <f>_xlfn.TEXTJOIN(" + ", TRUE, I162:M162)</f>
        <v/>
      </c>
    </row>
    <row r="163">
      <c r="A163" s="23" t="n"/>
      <c r="B163" s="1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7">
        <f>R163-Q163</f>
        <v/>
      </c>
      <c r="U163" s="7">
        <f>S163-Q163</f>
        <v/>
      </c>
      <c r="V163" s="1" t="n"/>
      <c r="W163" s="9">
        <f>S163-R163</f>
        <v/>
      </c>
      <c r="X163" s="9" t="n"/>
      <c r="AJ163" s="1" t="inlineStr">
        <is>
          <t>Ginecología y Obstetricia - Histerectomía abdominal</t>
        </is>
      </c>
      <c r="AM163">
        <f>_xlfn.TEXTJOIN(" + ", TRUE, I163:M163)</f>
        <v/>
      </c>
    </row>
    <row r="164">
      <c r="A164" s="23" t="n"/>
      <c r="B164" s="1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7">
        <f>R164-Q164</f>
        <v/>
      </c>
      <c r="U164" s="7">
        <f>S164-Q164</f>
        <v/>
      </c>
      <c r="V164" s="1" t="n"/>
      <c r="W164" s="9">
        <f>S164-R164</f>
        <v/>
      </c>
      <c r="X164" s="9" t="n"/>
      <c r="AJ164" s="1" t="inlineStr">
        <is>
          <t>Ginecología y Obstetricia - Histerectomía laparoscópica</t>
        </is>
      </c>
      <c r="AM164">
        <f>_xlfn.TEXTJOIN(" + ", TRUE, I164:M164)</f>
        <v/>
      </c>
    </row>
    <row r="165">
      <c r="A165" s="23" t="n"/>
      <c r="B165" s="1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7">
        <f>R165-Q165</f>
        <v/>
      </c>
      <c r="U165" s="7">
        <f>S165-Q165</f>
        <v/>
      </c>
      <c r="V165" s="1" t="n"/>
      <c r="W165" s="9">
        <f>S165-R165</f>
        <v/>
      </c>
      <c r="X165" s="9" t="n"/>
      <c r="AJ165" s="1" t="inlineStr">
        <is>
          <t>Ginecología y Obstetricia - Histerectomía quirúrgica</t>
        </is>
      </c>
      <c r="AM165">
        <f>_xlfn.TEXTJOIN(" + ", TRUE, I165:M165)</f>
        <v/>
      </c>
    </row>
    <row r="166">
      <c r="A166" s="23" t="n"/>
      <c r="B166" s="1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7">
        <f>R166-Q166</f>
        <v/>
      </c>
      <c r="U166" s="7">
        <f>S166-Q166</f>
        <v/>
      </c>
      <c r="V166" s="1" t="n"/>
      <c r="W166" s="9">
        <f>S166-R166</f>
        <v/>
      </c>
      <c r="X166" s="9" t="n"/>
      <c r="AJ166" s="1" t="inlineStr">
        <is>
          <t>Ginecología y Obstetricia - Histerectomía vaginal</t>
        </is>
      </c>
      <c r="AM166">
        <f>_xlfn.TEXTJOIN(" + ", TRUE, I166:M166)</f>
        <v/>
      </c>
    </row>
    <row r="167">
      <c r="A167" s="23" t="n"/>
      <c r="B167" s="1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7">
        <f>R167-Q167</f>
        <v/>
      </c>
      <c r="U167" s="7">
        <f>S167-Q167</f>
        <v/>
      </c>
      <c r="V167" s="1" t="n"/>
      <c r="W167" s="9">
        <f>S167-R167</f>
        <v/>
      </c>
      <c r="X167" s="9" t="n"/>
      <c r="AJ167" s="1" t="inlineStr">
        <is>
          <t>Ginecología y Obstetricia - Laparoscopía ginecológica</t>
        </is>
      </c>
      <c r="AM167">
        <f>_xlfn.TEXTJOIN(" + ", TRUE, I167:M167)</f>
        <v/>
      </c>
    </row>
    <row r="168">
      <c r="A168" s="23" t="n"/>
      <c r="B168" s="1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7">
        <f>R168-Q168</f>
        <v/>
      </c>
      <c r="U168" s="7">
        <f>S168-Q168</f>
        <v/>
      </c>
      <c r="V168" s="1" t="n"/>
      <c r="W168" s="9">
        <f>S168-R168</f>
        <v/>
      </c>
      <c r="X168" s="9" t="n"/>
      <c r="AJ168" s="1" t="inlineStr">
        <is>
          <t>Ginecología y Obstetricia - Legrado uterino</t>
        </is>
      </c>
      <c r="AM168">
        <f>_xlfn.TEXTJOIN(" + ", TRUE, I168:M168)</f>
        <v/>
      </c>
    </row>
    <row r="169">
      <c r="A169" s="23" t="n"/>
      <c r="B169" s="1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7">
        <f>R169-Q169</f>
        <v/>
      </c>
      <c r="U169" s="7">
        <f>S169-Q169</f>
        <v/>
      </c>
      <c r="V169" s="1" t="n"/>
      <c r="W169" s="9">
        <f>S169-R169</f>
        <v/>
      </c>
      <c r="X169" s="9" t="n"/>
      <c r="AJ169" s="1" t="inlineStr">
        <is>
          <t>Ginecología y Obstetricia - Ligadura de trompas</t>
        </is>
      </c>
      <c r="AM169">
        <f>_xlfn.TEXTJOIN(" + ", TRUE, I169:M169)</f>
        <v/>
      </c>
    </row>
    <row r="170">
      <c r="A170" s="23" t="n"/>
      <c r="B170" s="1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7">
        <f>R170-Q170</f>
        <v/>
      </c>
      <c r="U170" s="7">
        <f>S170-Q170</f>
        <v/>
      </c>
      <c r="V170" s="1" t="n"/>
      <c r="W170" s="9">
        <f>S170-R170</f>
        <v/>
      </c>
      <c r="X170" s="9" t="n"/>
      <c r="AJ170" s="1" t="inlineStr">
        <is>
          <t>Ginecología y Obstetricia - Ligadura tubárica</t>
        </is>
      </c>
      <c r="AM170">
        <f>_xlfn.TEXTJOIN(" + ", TRUE, I170:M170)</f>
        <v/>
      </c>
    </row>
    <row r="171">
      <c r="A171" s="23" t="n"/>
      <c r="B171" s="1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7">
        <f>R171-Q171</f>
        <v/>
      </c>
      <c r="U171" s="7">
        <f>S171-Q171</f>
        <v/>
      </c>
      <c r="V171" s="1" t="n"/>
      <c r="W171" s="9">
        <f>S171-R171</f>
        <v/>
      </c>
      <c r="X171" s="9" t="n"/>
      <c r="AJ171" s="1" t="inlineStr">
        <is>
          <t>Ginecología y Obstetricia - Marsupialización de quiste de Bartolino</t>
        </is>
      </c>
      <c r="AM171">
        <f>_xlfn.TEXTJOIN(" + ", TRUE, I171:M171)</f>
        <v/>
      </c>
    </row>
    <row r="172">
      <c r="A172" s="23" t="n"/>
      <c r="B172" s="1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7">
        <f>R172-Q172</f>
        <v/>
      </c>
      <c r="U172" s="7">
        <f>S172-Q172</f>
        <v/>
      </c>
      <c r="V172" s="1" t="n"/>
      <c r="W172" s="9">
        <f>S172-R172</f>
        <v/>
      </c>
      <c r="X172" s="9" t="n"/>
      <c r="AJ172" s="1" t="inlineStr">
        <is>
          <t>Ginecología y Obstetricia - Miomectomía</t>
        </is>
      </c>
      <c r="AM172">
        <f>_xlfn.TEXTJOIN(" + ", TRUE, I172:M172)</f>
        <v/>
      </c>
    </row>
    <row r="173">
      <c r="A173" s="23" t="n"/>
      <c r="B173" s="1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7">
        <f>R173-Q173</f>
        <v/>
      </c>
      <c r="U173" s="7">
        <f>S173-Q173</f>
        <v/>
      </c>
      <c r="V173" s="1" t="n"/>
      <c r="W173" s="9">
        <f>S173-R173</f>
        <v/>
      </c>
      <c r="X173" s="9" t="n"/>
      <c r="AJ173" s="1" t="inlineStr">
        <is>
          <t>Ginecología y Obstetricia - Ooforectomía</t>
        </is>
      </c>
      <c r="AM173">
        <f>_xlfn.TEXTJOIN(" + ", TRUE, I173:M173)</f>
        <v/>
      </c>
    </row>
    <row r="174">
      <c r="A174" s="23" t="n"/>
      <c r="B174" s="1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7">
        <f>R174-Q174</f>
        <v/>
      </c>
      <c r="U174" s="7">
        <f>S174-Q174</f>
        <v/>
      </c>
      <c r="V174" s="1" t="n"/>
      <c r="W174" s="9">
        <f>S174-R174</f>
        <v/>
      </c>
      <c r="X174" s="9" t="n"/>
      <c r="AJ174" s="1" t="inlineStr">
        <is>
          <t>Ginecología y Obstetricia - Quistectomía ovárica</t>
        </is>
      </c>
      <c r="AM174">
        <f>_xlfn.TEXTJOIN(" + ", TRUE, I174:M174)</f>
        <v/>
      </c>
    </row>
    <row r="175">
      <c r="A175" s="23" t="n"/>
      <c r="B175" s="1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7">
        <f>R175-Q175</f>
        <v/>
      </c>
      <c r="U175" s="7">
        <f>S175-Q175</f>
        <v/>
      </c>
      <c r="V175" s="1" t="n"/>
      <c r="W175" s="9">
        <f>S175-R175</f>
        <v/>
      </c>
      <c r="X175" s="9" t="n"/>
      <c r="AJ175" s="1" t="inlineStr">
        <is>
          <t>Ginecología y Obstetricia - Reparación de desgarros obstétricos</t>
        </is>
      </c>
      <c r="AM175">
        <f>_xlfn.TEXTJOIN(" + ", TRUE, I175:M175)</f>
        <v/>
      </c>
    </row>
    <row r="176">
      <c r="A176" s="23" t="n"/>
      <c r="B176" s="1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7">
        <f>R176-Q176</f>
        <v/>
      </c>
      <c r="U176" s="7">
        <f>S176-Q176</f>
        <v/>
      </c>
      <c r="V176" s="1" t="n"/>
      <c r="W176" s="9">
        <f>S176-R176</f>
        <v/>
      </c>
      <c r="X176" s="9" t="n"/>
      <c r="AJ176" s="1" t="inlineStr">
        <is>
          <t>Ginecología y Obstetricia - Reparación de prolapso uterino</t>
        </is>
      </c>
      <c r="AM176">
        <f>_xlfn.TEXTJOIN(" + ", TRUE, I176:M176)</f>
        <v/>
      </c>
    </row>
    <row r="177">
      <c r="A177" s="23" t="n"/>
      <c r="B177" s="1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7">
        <f>R177-Q177</f>
        <v/>
      </c>
      <c r="U177" s="7">
        <f>S177-Q177</f>
        <v/>
      </c>
      <c r="V177" s="1" t="n"/>
      <c r="W177" s="9">
        <f>S177-R177</f>
        <v/>
      </c>
      <c r="X177" s="9" t="n"/>
      <c r="AJ177" s="1" t="inlineStr">
        <is>
          <t>Ginecología y Obstetricia - Salpingectomía</t>
        </is>
      </c>
      <c r="AM177">
        <f>_xlfn.TEXTJOIN(" + ", TRUE, I177:M177)</f>
        <v/>
      </c>
    </row>
    <row r="178">
      <c r="A178" s="23" t="n"/>
      <c r="B178" s="1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7">
        <f>R178-Q178</f>
        <v/>
      </c>
      <c r="U178" s="7">
        <f>S178-Q178</f>
        <v/>
      </c>
      <c r="V178" s="1" t="n"/>
      <c r="W178" s="9">
        <f>S178-R178</f>
        <v/>
      </c>
      <c r="X178" s="9" t="n"/>
      <c r="AJ178" s="1" t="inlineStr">
        <is>
          <t>Ginecología y Obstetricia - Salpingooforectomía</t>
        </is>
      </c>
      <c r="AM178">
        <f>_xlfn.TEXTJOIN(" + ", TRUE, I178:M178)</f>
        <v/>
      </c>
    </row>
    <row r="179">
      <c r="A179" s="23" t="n"/>
      <c r="B179" s="1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7">
        <f>R179-Q179</f>
        <v/>
      </c>
      <c r="U179" s="7">
        <f>S179-Q179</f>
        <v/>
      </c>
      <c r="V179" s="1" t="n"/>
      <c r="W179" s="9">
        <f>S179-R179</f>
        <v/>
      </c>
      <c r="X179" s="9" t="n"/>
      <c r="AJ179" s="1" t="inlineStr">
        <is>
          <t>Ginecología y Obstetricia - Tratamiento quirúrgico de endometriosis</t>
        </is>
      </c>
      <c r="AM179">
        <f>_xlfn.TEXTJOIN(" + ", TRUE, I179:M179)</f>
        <v/>
      </c>
    </row>
    <row r="180">
      <c r="A180" s="23" t="n"/>
      <c r="B180" s="1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7">
        <f>R180-Q180</f>
        <v/>
      </c>
      <c r="U180" s="7">
        <f>S180-Q180</f>
        <v/>
      </c>
      <c r="V180" s="1" t="n"/>
      <c r="W180" s="9">
        <f>S180-R180</f>
        <v/>
      </c>
      <c r="X180" s="9" t="n"/>
      <c r="AJ180" s="1" t="inlineStr">
        <is>
          <t>Nefrología - Trasplante renal</t>
        </is>
      </c>
      <c r="AM180">
        <f>_xlfn.TEXTJOIN(" + ", TRUE, I180:M180)</f>
        <v/>
      </c>
    </row>
    <row r="181">
      <c r="A181" s="23" t="n"/>
      <c r="B181" s="1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7">
        <f>R181-Q181</f>
        <v/>
      </c>
      <c r="U181" s="7">
        <f>S181-Q181</f>
        <v/>
      </c>
      <c r="V181" s="1" t="n"/>
      <c r="W181" s="9">
        <f>S181-R181</f>
        <v/>
      </c>
      <c r="X181" s="9" t="n"/>
      <c r="AJ181" s="1" t="inlineStr">
        <is>
          <t>Nefrología - Biopsia renal percutánea</t>
        </is>
      </c>
      <c r="AM181">
        <f>_xlfn.TEXTJOIN(" + ", TRUE, I181:M181)</f>
        <v/>
      </c>
    </row>
    <row r="182">
      <c r="A182" s="23" t="n"/>
      <c r="B182" s="1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7">
        <f>R182-Q182</f>
        <v/>
      </c>
      <c r="U182" s="7">
        <f>S182-Q182</f>
        <v/>
      </c>
      <c r="V182" s="1" t="n"/>
      <c r="W182" s="9">
        <f>S182-R182</f>
        <v/>
      </c>
      <c r="X182" s="9" t="n"/>
      <c r="AJ182" s="1" t="inlineStr">
        <is>
          <t>Nefrología - Biopsia renal abierta</t>
        </is>
      </c>
      <c r="AM182">
        <f>_xlfn.TEXTJOIN(" + ", TRUE, I182:M182)</f>
        <v/>
      </c>
    </row>
    <row r="183">
      <c r="A183" s="23" t="n"/>
      <c r="B183" s="1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7">
        <f>R183-Q183</f>
        <v/>
      </c>
      <c r="U183" s="7">
        <f>S183-Q183</f>
        <v/>
      </c>
      <c r="V183" s="1" t="n"/>
      <c r="W183" s="9">
        <f>S183-R183</f>
        <v/>
      </c>
      <c r="X183" s="9" t="n"/>
      <c r="AJ183" s="1" t="inlineStr">
        <is>
          <t>Nefrología - Nefrectomía simple</t>
        </is>
      </c>
      <c r="AM183">
        <f>_xlfn.TEXTJOIN(" + ", TRUE, I183:M183)</f>
        <v/>
      </c>
    </row>
    <row r="184">
      <c r="A184" s="23" t="n"/>
      <c r="B184" s="1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7">
        <f>R184-Q184</f>
        <v/>
      </c>
      <c r="U184" s="7">
        <f>S184-Q184</f>
        <v/>
      </c>
      <c r="V184" s="1" t="n"/>
      <c r="W184" s="9">
        <f>S184-R184</f>
        <v/>
      </c>
      <c r="X184" s="9" t="n"/>
      <c r="AJ184" s="1" t="inlineStr">
        <is>
          <t>Nefrología - Nefrectomía radical</t>
        </is>
      </c>
      <c r="AM184">
        <f>_xlfn.TEXTJOIN(" + ", TRUE, I184:M184)</f>
        <v/>
      </c>
    </row>
    <row r="185">
      <c r="A185" s="23" t="n"/>
      <c r="B185" s="1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7">
        <f>R185-Q185</f>
        <v/>
      </c>
      <c r="U185" s="7">
        <f>S185-Q185</f>
        <v/>
      </c>
      <c r="V185" s="1" t="n"/>
      <c r="W185" s="9">
        <f>S185-R185</f>
        <v/>
      </c>
      <c r="X185" s="9" t="n"/>
      <c r="AJ185" s="1" t="inlineStr">
        <is>
          <t>Nefrología - Nefrectomía parcial</t>
        </is>
      </c>
      <c r="AM185">
        <f>_xlfn.TEXTJOIN(" + ", TRUE, I185:M185)</f>
        <v/>
      </c>
    </row>
    <row r="186">
      <c r="A186" s="23" t="n"/>
      <c r="B186" s="1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7">
        <f>R186-Q186</f>
        <v/>
      </c>
      <c r="U186" s="7">
        <f>S186-Q186</f>
        <v/>
      </c>
      <c r="V186" s="1" t="n"/>
      <c r="W186" s="9">
        <f>S186-R186</f>
        <v/>
      </c>
      <c r="X186" s="9" t="n"/>
      <c r="AJ186" s="1" t="inlineStr">
        <is>
          <t>Nefrología - Nefroureterectomía</t>
        </is>
      </c>
      <c r="AM186">
        <f>_xlfn.TEXTJOIN(" + ", TRUE, I186:M186)</f>
        <v/>
      </c>
    </row>
    <row r="187">
      <c r="A187" s="23" t="n"/>
      <c r="B187" s="1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7">
        <f>R187-Q187</f>
        <v/>
      </c>
      <c r="U187" s="7">
        <f>S187-Q187</f>
        <v/>
      </c>
      <c r="V187" s="1" t="n"/>
      <c r="W187" s="9">
        <f>S187-R187</f>
        <v/>
      </c>
      <c r="X187" s="9" t="n"/>
      <c r="AJ187" s="1" t="inlineStr">
        <is>
          <t>Nefrología - Reimplante de uréter</t>
        </is>
      </c>
      <c r="AM187">
        <f>_xlfn.TEXTJOIN(" + ", TRUE, I187:M187)</f>
        <v/>
      </c>
    </row>
    <row r="188">
      <c r="A188" s="23" t="n"/>
      <c r="B188" s="1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7">
        <f>R188-Q188</f>
        <v/>
      </c>
      <c r="U188" s="7">
        <f>S188-Q188</f>
        <v/>
      </c>
      <c r="V188" s="1" t="n"/>
      <c r="W188" s="9">
        <f>S188-R188</f>
        <v/>
      </c>
      <c r="X188" s="9" t="n"/>
      <c r="AJ188" s="1" t="inlineStr">
        <is>
          <t>Nefrología - Nefrolitotomía percutánea</t>
        </is>
      </c>
      <c r="AM188">
        <f>_xlfn.TEXTJOIN(" + ", TRUE, I188:M188)</f>
        <v/>
      </c>
    </row>
    <row r="189">
      <c r="A189" s="23" t="n"/>
      <c r="B189" s="1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7">
        <f>R189-Q189</f>
        <v/>
      </c>
      <c r="U189" s="7">
        <f>S189-Q189</f>
        <v/>
      </c>
      <c r="V189" s="1" t="n"/>
      <c r="W189" s="9">
        <f>S189-R189</f>
        <v/>
      </c>
      <c r="X189" s="9" t="n"/>
      <c r="AJ189" s="1" t="inlineStr">
        <is>
          <t>Nefrología - Nefrostomía percutánea</t>
        </is>
      </c>
      <c r="AM189">
        <f>_xlfn.TEXTJOIN(" + ", TRUE, I189:M189)</f>
        <v/>
      </c>
    </row>
    <row r="190">
      <c r="A190" s="23" t="n"/>
      <c r="B190" s="1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7">
        <f>R190-Q190</f>
        <v/>
      </c>
      <c r="U190" s="7">
        <f>S190-Q190</f>
        <v/>
      </c>
      <c r="V190" s="1" t="n"/>
      <c r="W190" s="9">
        <f>S190-R190</f>
        <v/>
      </c>
      <c r="X190" s="9" t="n"/>
      <c r="AJ190" s="1" t="inlineStr">
        <is>
          <t>Nefrología - Colocación de catéter para hemodiálisis (temporal)</t>
        </is>
      </c>
      <c r="AM190">
        <f>_xlfn.TEXTJOIN(" + ", TRUE, I190:M190)</f>
        <v/>
      </c>
    </row>
    <row r="191">
      <c r="A191" s="23" t="n"/>
      <c r="B191" s="1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7">
        <f>R191-Q191</f>
        <v/>
      </c>
      <c r="U191" s="7">
        <f>S191-Q191</f>
        <v/>
      </c>
      <c r="V191" s="1" t="n"/>
      <c r="W191" s="9">
        <f>S191-R191</f>
        <v/>
      </c>
      <c r="X191" s="9" t="n"/>
      <c r="AJ191" s="1" t="inlineStr">
        <is>
          <t>Nefrología - Colocación de catéter tunelizado para hemodiálisis</t>
        </is>
      </c>
      <c r="AM191">
        <f>_xlfn.TEXTJOIN(" + ", TRUE, I191:M191)</f>
        <v/>
      </c>
    </row>
    <row r="192">
      <c r="A192" s="23" t="n"/>
      <c r="B192" s="1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7">
        <f>R192-Q192</f>
        <v/>
      </c>
      <c r="U192" s="7">
        <f>S192-Q192</f>
        <v/>
      </c>
      <c r="V192" s="1" t="n"/>
      <c r="W192" s="9">
        <f>S192-R192</f>
        <v/>
      </c>
      <c r="X192" s="9" t="n"/>
      <c r="AJ192" s="1" t="inlineStr">
        <is>
          <t>Nefrología - Retiro de catéter para hermodiálisis</t>
        </is>
      </c>
      <c r="AM192">
        <f>_xlfn.TEXTJOIN(" + ", TRUE, I192:M192)</f>
        <v/>
      </c>
    </row>
    <row r="193">
      <c r="A193" s="23" t="n"/>
      <c r="B193" s="1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7">
        <f>R193-Q193</f>
        <v/>
      </c>
      <c r="U193" s="7">
        <f>S193-Q193</f>
        <v/>
      </c>
      <c r="V193" s="1" t="n"/>
      <c r="W193" s="9">
        <f>S193-R193</f>
        <v/>
      </c>
      <c r="X193" s="9" t="n"/>
      <c r="AJ193" s="1" t="inlineStr">
        <is>
          <t>Nefrología - Creación de fístula arteriovenosa (radiocefálica)</t>
        </is>
      </c>
      <c r="AM193">
        <f>_xlfn.TEXTJOIN(" + ", TRUE, I193:M193)</f>
        <v/>
      </c>
    </row>
    <row r="194">
      <c r="A194" s="23" t="n"/>
      <c r="B194" s="1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7">
        <f>R194-Q194</f>
        <v/>
      </c>
      <c r="U194" s="7">
        <f>S194-Q194</f>
        <v/>
      </c>
      <c r="V194" s="1" t="n"/>
      <c r="W194" s="9">
        <f>S194-R194</f>
        <v/>
      </c>
      <c r="X194" s="9" t="n"/>
      <c r="AJ194" s="1" t="inlineStr">
        <is>
          <t>Nefrología - Creación de fístula arteriovenosa (braquiocefálica)</t>
        </is>
      </c>
      <c r="AM194">
        <f>_xlfn.TEXTJOIN(" + ", TRUE, I194:M194)</f>
        <v/>
      </c>
    </row>
    <row r="195">
      <c r="A195" s="23" t="n"/>
      <c r="B195" s="1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7">
        <f>R195-Q195</f>
        <v/>
      </c>
      <c r="U195" s="7">
        <f>S195-Q195</f>
        <v/>
      </c>
      <c r="V195" s="1" t="n"/>
      <c r="W195" s="9">
        <f>S195-R195</f>
        <v/>
      </c>
      <c r="X195" s="9" t="n"/>
      <c r="AJ195" s="1" t="inlineStr">
        <is>
          <t>Nefrología - Transposición de vena basílica</t>
        </is>
      </c>
      <c r="AM195">
        <f>_xlfn.TEXTJOIN(" + ", TRUE, I195:M195)</f>
        <v/>
      </c>
    </row>
    <row r="196">
      <c r="A196" s="23" t="n"/>
      <c r="B196" s="1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7">
        <f>R196-Q196</f>
        <v/>
      </c>
      <c r="U196" s="7">
        <f>S196-Q196</f>
        <v/>
      </c>
      <c r="V196" s="1" t="n"/>
      <c r="W196" s="9">
        <f>S196-R196</f>
        <v/>
      </c>
      <c r="X196" s="9" t="n"/>
      <c r="AJ196" s="1" t="inlineStr">
        <is>
          <t>Nefrología - Colocación de injerto arteriovenoso para diálisis</t>
        </is>
      </c>
      <c r="AM196">
        <f>_xlfn.TEXTJOIN(" + ", TRUE, I196:M196)</f>
        <v/>
      </c>
    </row>
    <row r="197">
      <c r="A197" s="23" t="n"/>
      <c r="B197" s="1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7">
        <f>R197-Q197</f>
        <v/>
      </c>
      <c r="U197" s="7">
        <f>S197-Q197</f>
        <v/>
      </c>
      <c r="V197" s="1" t="n"/>
      <c r="W197" s="9">
        <f>S197-R197</f>
        <v/>
      </c>
      <c r="X197" s="9" t="n"/>
      <c r="AJ197" s="1" t="inlineStr">
        <is>
          <t>Nefrología - Reparación de fístula arteriovenosa</t>
        </is>
      </c>
      <c r="AM197">
        <f>_xlfn.TEXTJOIN(" + ", TRUE, I197:M197)</f>
        <v/>
      </c>
    </row>
    <row r="198">
      <c r="A198" s="23" t="n"/>
      <c r="B198" s="1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7">
        <f>R198-Q198</f>
        <v/>
      </c>
      <c r="U198" s="7">
        <f>S198-Q198</f>
        <v/>
      </c>
      <c r="V198" s="1" t="n"/>
      <c r="W198" s="9">
        <f>S198-R198</f>
        <v/>
      </c>
      <c r="X198" s="9" t="n"/>
      <c r="AJ198" s="1" t="inlineStr">
        <is>
          <t>Nefrología - Trombectomía de fístula arteriovenosa</t>
        </is>
      </c>
      <c r="AM198">
        <f>_xlfn.TEXTJOIN(" + ", TRUE, I198:M198)</f>
        <v/>
      </c>
    </row>
    <row r="199">
      <c r="A199" s="23" t="n"/>
      <c r="B199" s="1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7">
        <f>R199-Q199</f>
        <v/>
      </c>
      <c r="U199" s="7">
        <f>S199-Q199</f>
        <v/>
      </c>
      <c r="V199" s="1" t="n"/>
      <c r="W199" s="9">
        <f>S199-R199</f>
        <v/>
      </c>
      <c r="X199" s="9" t="n"/>
      <c r="AJ199" s="1" t="inlineStr">
        <is>
          <t>Nefrología - Angioplastía de acceso vascular para hemodiálisis</t>
        </is>
      </c>
      <c r="AM199">
        <f>_xlfn.TEXTJOIN(" + ", TRUE, I199:M199)</f>
        <v/>
      </c>
    </row>
    <row r="200">
      <c r="A200" s="23" t="n"/>
      <c r="B200" s="1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7">
        <f>R200-Q200</f>
        <v/>
      </c>
      <c r="U200" s="7">
        <f>S200-Q200</f>
        <v/>
      </c>
      <c r="V200" s="1" t="n"/>
      <c r="W200" s="9">
        <f>S200-R200</f>
        <v/>
      </c>
      <c r="X200" s="9" t="n"/>
      <c r="AJ200" s="1" t="inlineStr">
        <is>
          <t>Nefrología - Revisión quirúrgica de acceso vascular</t>
        </is>
      </c>
      <c r="AM200">
        <f>_xlfn.TEXTJOIN(" + ", TRUE, I200:M200)</f>
        <v/>
      </c>
    </row>
    <row r="201">
      <c r="A201" s="23" t="n"/>
      <c r="B201" s="1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7">
        <f>R201-Q201</f>
        <v/>
      </c>
      <c r="U201" s="7">
        <f>S201-Q201</f>
        <v/>
      </c>
      <c r="V201" s="1" t="n"/>
      <c r="W201" s="9">
        <f>S201-R201</f>
        <v/>
      </c>
      <c r="X201" s="9" t="n"/>
      <c r="AJ201" s="1" t="inlineStr">
        <is>
          <t>Nefrología - Colocación de catéter para diálisis peritoneal</t>
        </is>
      </c>
      <c r="AM201">
        <f>_xlfn.TEXTJOIN(" + ", TRUE, I201:M201)</f>
        <v/>
      </c>
    </row>
    <row r="202">
      <c r="A202" s="23" t="n"/>
      <c r="B202" s="1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7">
        <f>R202-Q202</f>
        <v/>
      </c>
      <c r="U202" s="7">
        <f>S202-Q202</f>
        <v/>
      </c>
      <c r="V202" s="1" t="n"/>
      <c r="W202" s="9">
        <f>S202-R202</f>
        <v/>
      </c>
      <c r="X202" s="9" t="n"/>
      <c r="AJ202" s="1" t="inlineStr">
        <is>
          <t>Nefrología - Retiro de catéter para diálisis peritoneal</t>
        </is>
      </c>
      <c r="AM202">
        <f>_xlfn.TEXTJOIN(" + ", TRUE, I202:M202)</f>
        <v/>
      </c>
    </row>
    <row r="203">
      <c r="A203" s="23" t="n"/>
      <c r="B203" s="1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7">
        <f>R203-Q203</f>
        <v/>
      </c>
      <c r="U203" s="7">
        <f>S203-Q203</f>
        <v/>
      </c>
      <c r="V203" s="1" t="n"/>
      <c r="W203" s="9">
        <f>S203-R203</f>
        <v/>
      </c>
      <c r="X203" s="9" t="n"/>
      <c r="AJ203" s="1" t="inlineStr">
        <is>
          <t>Nefrología - Revisión o recambio de catéter peritoneal</t>
        </is>
      </c>
      <c r="AM203">
        <f>_xlfn.TEXTJOIN(" + ", TRUE, I203:M203)</f>
        <v/>
      </c>
    </row>
    <row r="204">
      <c r="A204" s="23" t="n"/>
      <c r="B204" s="1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7">
        <f>R204-Q204</f>
        <v/>
      </c>
      <c r="U204" s="7">
        <f>S204-Q204</f>
        <v/>
      </c>
      <c r="V204" s="1" t="n"/>
      <c r="W204" s="9">
        <f>S204-R204</f>
        <v/>
      </c>
      <c r="X204" s="9" t="n"/>
      <c r="AJ204" s="1" t="inlineStr">
        <is>
          <t>Nefrología - Decortificación de riñón</t>
        </is>
      </c>
      <c r="AM204">
        <f>_xlfn.TEXTJOIN(" + ", TRUE, I204:M204)</f>
        <v/>
      </c>
    </row>
    <row r="205">
      <c r="A205" s="23" t="n"/>
      <c r="B205" s="1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7">
        <f>R205-Q205</f>
        <v/>
      </c>
      <c r="U205" s="7">
        <f>S205-Q205</f>
        <v/>
      </c>
      <c r="V205" s="1" t="n"/>
      <c r="W205" s="9">
        <f>S205-R205</f>
        <v/>
      </c>
      <c r="X205" s="9" t="n"/>
      <c r="AJ205" s="1" t="inlineStr">
        <is>
          <t>Nefrología - Drenaje de absceso renal</t>
        </is>
      </c>
      <c r="AM205">
        <f>_xlfn.TEXTJOIN(" + ", TRUE, I205:M205)</f>
        <v/>
      </c>
    </row>
    <row r="206">
      <c r="A206" s="23" t="n"/>
      <c r="B206" s="1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7">
        <f>R206-Q206</f>
        <v/>
      </c>
      <c r="U206" s="7">
        <f>S206-Q206</f>
        <v/>
      </c>
      <c r="V206" s="1" t="n"/>
      <c r="W206" s="9">
        <f>S206-R206</f>
        <v/>
      </c>
      <c r="X206" s="9" t="n"/>
      <c r="AJ206" s="1" t="inlineStr">
        <is>
          <t>Nefrología - Marsupialización de quiste renal</t>
        </is>
      </c>
      <c r="AM206">
        <f>_xlfn.TEXTJOIN(" + ", TRUE, I206:M206)</f>
        <v/>
      </c>
    </row>
    <row r="207">
      <c r="A207" s="23" t="n"/>
      <c r="B207" s="1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7">
        <f>R207-Q207</f>
        <v/>
      </c>
      <c r="U207" s="7">
        <f>S207-Q207</f>
        <v/>
      </c>
      <c r="V207" s="1" t="n"/>
      <c r="W207" s="9">
        <f>S207-R207</f>
        <v/>
      </c>
      <c r="X207" s="9" t="n"/>
      <c r="AJ207" s="1" t="inlineStr">
        <is>
          <t>Nefrología - Fenestración laparoscópica de quiste renal</t>
        </is>
      </c>
      <c r="AM207">
        <f>_xlfn.TEXTJOIN(" + ", TRUE, I207:M207)</f>
        <v/>
      </c>
    </row>
    <row r="208">
      <c r="A208" s="23" t="n"/>
      <c r="B208" s="1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7">
        <f>R208-Q208</f>
        <v/>
      </c>
      <c r="U208" s="7">
        <f>S208-Q208</f>
        <v/>
      </c>
      <c r="V208" s="1" t="n"/>
      <c r="W208" s="9">
        <f>S208-R208</f>
        <v/>
      </c>
      <c r="X208" s="9" t="n"/>
      <c r="AJ208" s="1" t="inlineStr">
        <is>
          <t>Neurocirugía - Cirugía de aneurisma cerebral</t>
        </is>
      </c>
      <c r="AM208">
        <f>_xlfn.TEXTJOIN(" + ", TRUE, I208:M208)</f>
        <v/>
      </c>
    </row>
    <row r="209">
      <c r="A209" s="23" t="n"/>
      <c r="B209" s="1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7">
        <f>R209-Q209</f>
        <v/>
      </c>
      <c r="U209" s="7">
        <f>S209-Q209</f>
        <v/>
      </c>
      <c r="V209" s="1" t="n"/>
      <c r="W209" s="9">
        <f>S209-R209</f>
        <v/>
      </c>
      <c r="X209" s="9" t="n"/>
      <c r="AJ209" s="1" t="inlineStr">
        <is>
          <t>Neurocirugía - Cirugía de columna vertebral</t>
        </is>
      </c>
      <c r="AM209">
        <f>_xlfn.TEXTJOIN(" + ", TRUE, I209:M209)</f>
        <v/>
      </c>
    </row>
    <row r="210">
      <c r="A210" s="23" t="n"/>
      <c r="B210" s="1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7">
        <f>R210-Q210</f>
        <v/>
      </c>
      <c r="U210" s="7">
        <f>S210-Q210</f>
        <v/>
      </c>
      <c r="V210" s="1" t="n"/>
      <c r="W210" s="9">
        <f>S210-R210</f>
        <v/>
      </c>
      <c r="X210" s="9" t="n"/>
      <c r="AJ210" s="1" t="inlineStr">
        <is>
          <t>Neurocirugía - Cirugía de tumores cerebrales</t>
        </is>
      </c>
      <c r="AM210">
        <f>_xlfn.TEXTJOIN(" + ", TRUE, I210:M210)</f>
        <v/>
      </c>
    </row>
    <row r="211">
      <c r="A211" s="23" t="n"/>
      <c r="B211" s="1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7">
        <f>R211-Q211</f>
        <v/>
      </c>
      <c r="U211" s="7">
        <f>S211-Q211</f>
        <v/>
      </c>
      <c r="V211" s="1" t="n"/>
      <c r="W211" s="9">
        <f>S211-R211</f>
        <v/>
      </c>
      <c r="X211" s="9" t="n"/>
      <c r="AJ211" s="1" t="inlineStr">
        <is>
          <t>Neurocirugía - Craneotomía</t>
        </is>
      </c>
      <c r="AM211">
        <f>_xlfn.TEXTJOIN(" + ", TRUE, I211:M211)</f>
        <v/>
      </c>
    </row>
    <row r="212">
      <c r="A212" s="23" t="n"/>
      <c r="B212" s="1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7">
        <f>R212-Q212</f>
        <v/>
      </c>
      <c r="U212" s="7">
        <f>S212-Q212</f>
        <v/>
      </c>
      <c r="V212" s="1" t="n"/>
      <c r="W212" s="9">
        <f>S212-R212</f>
        <v/>
      </c>
      <c r="X212" s="9" t="n"/>
      <c r="AJ212" s="1" t="inlineStr">
        <is>
          <t>Neurocirugía - Craniectomía</t>
        </is>
      </c>
      <c r="AM212">
        <f>_xlfn.TEXTJOIN(" + ", TRUE, I212:M212)</f>
        <v/>
      </c>
    </row>
    <row r="213">
      <c r="A213" s="23" t="n"/>
      <c r="B213" s="1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7">
        <f>R213-Q213</f>
        <v/>
      </c>
      <c r="U213" s="7">
        <f>S213-Q213</f>
        <v/>
      </c>
      <c r="V213" s="1" t="n"/>
      <c r="W213" s="9">
        <f>S213-R213</f>
        <v/>
      </c>
      <c r="X213" s="9" t="n"/>
      <c r="AJ213" s="1" t="inlineStr">
        <is>
          <t>Neurocirugía - Derivación ventriculoperitoneal</t>
        </is>
      </c>
      <c r="AM213">
        <f>_xlfn.TEXTJOIN(" + ", TRUE, I213:M213)</f>
        <v/>
      </c>
    </row>
    <row r="214">
      <c r="A214" s="23" t="n"/>
      <c r="B214" s="1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7">
        <f>R214-Q214</f>
        <v/>
      </c>
      <c r="U214" s="7">
        <f>S214-Q214</f>
        <v/>
      </c>
      <c r="V214" s="1" t="n"/>
      <c r="W214" s="9">
        <f>S214-R214</f>
        <v/>
      </c>
      <c r="X214" s="9" t="n"/>
      <c r="AJ214" s="1" t="inlineStr">
        <is>
          <t>Neurocirugía - Discectomía</t>
        </is>
      </c>
      <c r="AM214">
        <f>_xlfn.TEXTJOIN(" + ", TRUE, I214:M214)</f>
        <v/>
      </c>
    </row>
    <row r="215">
      <c r="A215" s="23" t="n"/>
      <c r="B215" s="1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7">
        <f>R215-Q215</f>
        <v/>
      </c>
      <c r="U215" s="7">
        <f>S215-Q215</f>
        <v/>
      </c>
      <c r="V215" s="1" t="n"/>
      <c r="W215" s="9">
        <f>S215-R215</f>
        <v/>
      </c>
      <c r="X215" s="9" t="n"/>
      <c r="AJ215" s="1" t="inlineStr">
        <is>
          <t>Neurocirugía - Drenaje de hematoma</t>
        </is>
      </c>
      <c r="AM215">
        <f>_xlfn.TEXTJOIN(" + ", TRUE, I215:M215)</f>
        <v/>
      </c>
    </row>
    <row r="216">
      <c r="A216" s="23" t="n"/>
      <c r="B216" s="1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7">
        <f>R216-Q216</f>
        <v/>
      </c>
      <c r="U216" s="7">
        <f>S216-Q216</f>
        <v/>
      </c>
      <c r="V216" s="1" t="n"/>
      <c r="W216" s="9">
        <f>S216-R216</f>
        <v/>
      </c>
      <c r="X216" s="9" t="n"/>
      <c r="AJ216" s="1" t="inlineStr">
        <is>
          <t>Neurocirugía - Drenaje epidural</t>
        </is>
      </c>
      <c r="AM216">
        <f>_xlfn.TEXTJOIN(" + ", TRUE, I216:M216)</f>
        <v/>
      </c>
    </row>
    <row r="217">
      <c r="A217" s="23" t="n"/>
      <c r="B217" s="1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7">
        <f>R217-Q217</f>
        <v/>
      </c>
      <c r="U217" s="7">
        <f>S217-Q217</f>
        <v/>
      </c>
      <c r="V217" s="1" t="n"/>
      <c r="W217" s="9">
        <f>S217-R217</f>
        <v/>
      </c>
      <c r="X217" s="9" t="n"/>
      <c r="AJ217" s="1" t="inlineStr">
        <is>
          <t>Neurocirugía - Estimulación cerebral profunda</t>
        </is>
      </c>
      <c r="AM217">
        <f>_xlfn.TEXTJOIN(" + ", TRUE, I217:M217)</f>
        <v/>
      </c>
    </row>
    <row r="218">
      <c r="A218" s="23" t="n"/>
      <c r="B218" s="1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7">
        <f>R218-Q218</f>
        <v/>
      </c>
      <c r="U218" s="7">
        <f>S218-Q218</f>
        <v/>
      </c>
      <c r="V218" s="1" t="n"/>
      <c r="W218" s="9">
        <f>S218-R218</f>
        <v/>
      </c>
      <c r="X218" s="9" t="n"/>
      <c r="AJ218" s="1" t="inlineStr">
        <is>
          <t>Neurocirugía - Evacuación de hematomas</t>
        </is>
      </c>
      <c r="AM218">
        <f>_xlfn.TEXTJOIN(" + ", TRUE, I218:M218)</f>
        <v/>
      </c>
    </row>
    <row r="219">
      <c r="A219" s="23" t="n"/>
      <c r="B219" s="1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7">
        <f>R219-Q219</f>
        <v/>
      </c>
      <c r="U219" s="7">
        <f>S219-Q219</f>
        <v/>
      </c>
      <c r="V219" s="1" t="n"/>
      <c r="W219" s="9">
        <f>S219-R219</f>
        <v/>
      </c>
      <c r="X219" s="9" t="n"/>
      <c r="AJ219" s="1" t="inlineStr">
        <is>
          <t>Neurocirugía - Fusión vertebral</t>
        </is>
      </c>
      <c r="AM219">
        <f>_xlfn.TEXTJOIN(" + ", TRUE, I219:M219)</f>
        <v/>
      </c>
    </row>
    <row r="220">
      <c r="A220" s="23" t="n"/>
      <c r="B220" s="1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7">
        <f>R220-Q220</f>
        <v/>
      </c>
      <c r="U220" s="7">
        <f>S220-Q220</f>
        <v/>
      </c>
      <c r="V220" s="1" t="n"/>
      <c r="W220" s="9">
        <f>S220-R220</f>
        <v/>
      </c>
      <c r="X220" s="9" t="n"/>
      <c r="AJ220" s="1" t="inlineStr">
        <is>
          <t>Neurocirugía - Laminectomía</t>
        </is>
      </c>
      <c r="AM220">
        <f>_xlfn.TEXTJOIN(" + ", TRUE, I220:M220)</f>
        <v/>
      </c>
    </row>
    <row r="221">
      <c r="A221" s="23" t="n"/>
      <c r="B221" s="1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7">
        <f>R221-Q221</f>
        <v/>
      </c>
      <c r="U221" s="7">
        <f>S221-Q221</f>
        <v/>
      </c>
      <c r="V221" s="1" t="n"/>
      <c r="W221" s="9">
        <f>S221-R221</f>
        <v/>
      </c>
      <c r="X221" s="9" t="n"/>
      <c r="AJ221" s="1" t="inlineStr">
        <is>
          <t>Neurocirugía - Levantamiento óseo frontal</t>
        </is>
      </c>
      <c r="AM221">
        <f>_xlfn.TEXTJOIN(" + ", TRUE, I221:M221)</f>
        <v/>
      </c>
    </row>
    <row r="222">
      <c r="A222" s="23" t="n"/>
      <c r="B222" s="1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7">
        <f>R222-Q222</f>
        <v/>
      </c>
      <c r="U222" s="7">
        <f>S222-Q222</f>
        <v/>
      </c>
      <c r="V222" s="1" t="n"/>
      <c r="W222" s="9">
        <f>S222-R222</f>
        <v/>
      </c>
      <c r="X222" s="9" t="n"/>
      <c r="AJ222" s="1" t="inlineStr">
        <is>
          <t>Neurocirugía - Reparación de fracturas craneales</t>
        </is>
      </c>
      <c r="AM222">
        <f>_xlfn.TEXTJOIN(" + ", TRUE, I222:M222)</f>
        <v/>
      </c>
    </row>
    <row r="223">
      <c r="A223" s="23" t="n"/>
      <c r="B223" s="1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7">
        <f>R223-Q223</f>
        <v/>
      </c>
      <c r="U223" s="7">
        <f>S223-Q223</f>
        <v/>
      </c>
      <c r="V223" s="1" t="n"/>
      <c r="W223" s="9">
        <f>S223-R223</f>
        <v/>
      </c>
      <c r="X223" s="9" t="n"/>
      <c r="AJ223" s="1" t="inlineStr">
        <is>
          <t>Neurocirugía - Resección de tumor cerebral</t>
        </is>
      </c>
      <c r="AM223">
        <f>_xlfn.TEXTJOIN(" + ", TRUE, I223:M223)</f>
        <v/>
      </c>
    </row>
    <row r="224">
      <c r="A224" s="23" t="n"/>
      <c r="B224" s="1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7">
        <f>R224-Q224</f>
        <v/>
      </c>
      <c r="U224" s="7">
        <f>S224-Q224</f>
        <v/>
      </c>
      <c r="V224" s="1" t="n"/>
      <c r="W224" s="9">
        <f>S224-R224</f>
        <v/>
      </c>
      <c r="X224" s="9" t="n"/>
      <c r="AJ224" s="1" t="inlineStr">
        <is>
          <t>Oftalmología - Cirugía de catarata</t>
        </is>
      </c>
      <c r="AM224">
        <f>_xlfn.TEXTJOIN(" + ", TRUE, I224:M224)</f>
        <v/>
      </c>
    </row>
    <row r="225">
      <c r="A225" s="23" t="n"/>
      <c r="B225" s="1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7">
        <f>R225-Q225</f>
        <v/>
      </c>
      <c r="U225" s="7">
        <f>S225-Q225</f>
        <v/>
      </c>
      <c r="V225" s="1" t="n"/>
      <c r="W225" s="9">
        <f>S225-R225</f>
        <v/>
      </c>
      <c r="X225" s="9" t="n"/>
      <c r="AJ225" s="1" t="inlineStr">
        <is>
          <t>Oftalmología - LASIK</t>
        </is>
      </c>
      <c r="AM225">
        <f>_xlfn.TEXTJOIN(" + ", TRUE, I225:M225)</f>
        <v/>
      </c>
    </row>
    <row r="226">
      <c r="A226" s="23" t="n"/>
      <c r="B226" s="1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7">
        <f>R226-Q226</f>
        <v/>
      </c>
      <c r="U226" s="7">
        <f>S226-Q226</f>
        <v/>
      </c>
      <c r="V226" s="1" t="n"/>
      <c r="W226" s="9">
        <f>S226-R226</f>
        <v/>
      </c>
      <c r="X226" s="9" t="n"/>
      <c r="AJ226" s="1" t="inlineStr">
        <is>
          <t>Oftalmología - Queratoplastia</t>
        </is>
      </c>
      <c r="AM226">
        <f>_xlfn.TEXTJOIN(" + ", TRUE, I226:M226)</f>
        <v/>
      </c>
    </row>
    <row r="227">
      <c r="A227" s="23" t="n"/>
      <c r="B227" s="1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7">
        <f>R227-Q227</f>
        <v/>
      </c>
      <c r="U227" s="7">
        <f>S227-Q227</f>
        <v/>
      </c>
      <c r="V227" s="1" t="n"/>
      <c r="W227" s="9">
        <f>S227-R227</f>
        <v/>
      </c>
      <c r="X227" s="9" t="n"/>
      <c r="AJ227" s="1" t="inlineStr">
        <is>
          <t>Oftalmología - Reparación de desprendimiento de retina</t>
        </is>
      </c>
      <c r="AM227">
        <f>_xlfn.TEXTJOIN(" + ", TRUE, I227:M227)</f>
        <v/>
      </c>
    </row>
    <row r="228">
      <c r="A228" s="23" t="n"/>
      <c r="B228" s="1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7">
        <f>R228-Q228</f>
        <v/>
      </c>
      <c r="U228" s="7">
        <f>S228-Q228</f>
        <v/>
      </c>
      <c r="V228" s="1" t="n"/>
      <c r="W228" s="9">
        <f>S228-R228</f>
        <v/>
      </c>
      <c r="X228" s="9" t="n"/>
      <c r="AJ228" s="1" t="inlineStr">
        <is>
          <t>Oftalmología - Trabeculectomía</t>
        </is>
      </c>
      <c r="AM228">
        <f>_xlfn.TEXTJOIN(" + ", TRUE, I228:M228)</f>
        <v/>
      </c>
    </row>
    <row r="229">
      <c r="A229" s="23" t="n"/>
      <c r="B229" s="1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7">
        <f>R229-Q229</f>
        <v/>
      </c>
      <c r="U229" s="7">
        <f>S229-Q229</f>
        <v/>
      </c>
      <c r="V229" s="1" t="n"/>
      <c r="W229" s="9">
        <f>S229-R229</f>
        <v/>
      </c>
      <c r="X229" s="9" t="n"/>
      <c r="AJ229" s="1" t="inlineStr">
        <is>
          <t>Oftalmología - Vitrectomía</t>
        </is>
      </c>
      <c r="AM229">
        <f>_xlfn.TEXTJOIN(" + ", TRUE, I229:M229)</f>
        <v/>
      </c>
    </row>
    <row r="230">
      <c r="A230" s="23" t="n"/>
      <c r="B230" s="1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7">
        <f>R230-Q230</f>
        <v/>
      </c>
      <c r="U230" s="7">
        <f>S230-Q230</f>
        <v/>
      </c>
      <c r="V230" s="1" t="n"/>
      <c r="W230" s="9">
        <f>S230-R230</f>
        <v/>
      </c>
      <c r="X230" s="9" t="n"/>
      <c r="AJ230" s="1" t="inlineStr">
        <is>
          <t>Otorrinolaringología - Adenoamigdalectomía</t>
        </is>
      </c>
      <c r="AM230">
        <f>_xlfn.TEXTJOIN(" + ", TRUE, I230:M230)</f>
        <v/>
      </c>
    </row>
    <row r="231">
      <c r="A231" s="23" t="n"/>
      <c r="B231" s="1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7">
        <f>R231-Q231</f>
        <v/>
      </c>
      <c r="U231" s="7">
        <f>S231-Q231</f>
        <v/>
      </c>
      <c r="V231" s="1" t="n"/>
      <c r="W231" s="9">
        <f>S231-R231</f>
        <v/>
      </c>
      <c r="X231" s="9" t="n"/>
      <c r="AJ231" s="1" t="inlineStr">
        <is>
          <t>Otorrinolaringología - Adenoidectomía</t>
        </is>
      </c>
      <c r="AM231">
        <f>_xlfn.TEXTJOIN(" + ", TRUE, I231:M231)</f>
        <v/>
      </c>
    </row>
    <row r="232">
      <c r="A232" s="23" t="n"/>
      <c r="B232" s="1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7">
        <f>R232-Q232</f>
        <v/>
      </c>
      <c r="U232" s="7">
        <f>S232-Q232</f>
        <v/>
      </c>
      <c r="V232" s="1" t="n"/>
      <c r="W232" s="9">
        <f>S232-R232</f>
        <v/>
      </c>
      <c r="X232" s="9" t="n"/>
      <c r="AJ232" s="1" t="inlineStr">
        <is>
          <t>Otorrinolaringología - Amigdalectomía</t>
        </is>
      </c>
      <c r="AM232">
        <f>_xlfn.TEXTJOIN(" + ", TRUE, I232:M232)</f>
        <v/>
      </c>
    </row>
    <row r="233">
      <c r="A233" s="23" t="n"/>
      <c r="B233" s="1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7">
        <f>R233-Q233</f>
        <v/>
      </c>
      <c r="U233" s="7">
        <f>S233-Q233</f>
        <v/>
      </c>
      <c r="V233" s="1" t="n"/>
      <c r="W233" s="9">
        <f>S233-R233</f>
        <v/>
      </c>
      <c r="X233" s="9" t="n"/>
      <c r="AJ233" s="1" t="inlineStr">
        <is>
          <t>Otorrinolaringología - Cirugía endoscópica nasal</t>
        </is>
      </c>
      <c r="AM233">
        <f>_xlfn.TEXTJOIN(" + ", TRUE, I233:M233)</f>
        <v/>
      </c>
    </row>
    <row r="234">
      <c r="A234" s="23" t="n"/>
      <c r="B234" s="1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7">
        <f>R234-Q234</f>
        <v/>
      </c>
      <c r="U234" s="7">
        <f>S234-Q234</f>
        <v/>
      </c>
      <c r="V234" s="1" t="n"/>
      <c r="W234" s="9">
        <f>S234-R234</f>
        <v/>
      </c>
      <c r="X234" s="9" t="n"/>
      <c r="AJ234" s="1" t="inlineStr">
        <is>
          <t>Otorrinolaringología - Laringectomía</t>
        </is>
      </c>
      <c r="AM234">
        <f>_xlfn.TEXTJOIN(" + ", TRUE, I234:M234)</f>
        <v/>
      </c>
    </row>
    <row r="235">
      <c r="A235" s="23" t="n"/>
      <c r="B235" s="1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7">
        <f>R235-Q235</f>
        <v/>
      </c>
      <c r="U235" s="7">
        <f>S235-Q235</f>
        <v/>
      </c>
      <c r="V235" s="1" t="n"/>
      <c r="W235" s="9">
        <f>S235-R235</f>
        <v/>
      </c>
      <c r="X235" s="9" t="n"/>
      <c r="AJ235" s="1" t="inlineStr">
        <is>
          <t>Otorrinolaringología - Mastoidectomía</t>
        </is>
      </c>
      <c r="AM235">
        <f>_xlfn.TEXTJOIN(" + ", TRUE, I235:M235)</f>
        <v/>
      </c>
    </row>
    <row r="236">
      <c r="A236" s="23" t="n"/>
      <c r="B236" s="1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7">
        <f>R236-Q236</f>
        <v/>
      </c>
      <c r="U236" s="7">
        <f>S236-Q236</f>
        <v/>
      </c>
      <c r="V236" s="1" t="n"/>
      <c r="W236" s="9">
        <f>S236-R236</f>
        <v/>
      </c>
      <c r="X236" s="9" t="n"/>
      <c r="AJ236" s="1" t="inlineStr">
        <is>
          <t>Otorrinolaringología - Microlaringoscopía</t>
        </is>
      </c>
      <c r="AM236">
        <f>_xlfn.TEXTJOIN(" + ", TRUE, I236:M236)</f>
        <v/>
      </c>
    </row>
    <row r="237">
      <c r="A237" s="23" t="n"/>
      <c r="B237" s="1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7">
        <f>R237-Q237</f>
        <v/>
      </c>
      <c r="U237" s="7">
        <f>S237-Q237</f>
        <v/>
      </c>
      <c r="V237" s="1" t="n"/>
      <c r="W237" s="9">
        <f>S237-R237</f>
        <v/>
      </c>
      <c r="X237" s="9" t="n"/>
      <c r="AJ237" s="1" t="inlineStr">
        <is>
          <t>Otorrinolaringología - Polipectomía nasal</t>
        </is>
      </c>
      <c r="AM237">
        <f>_xlfn.TEXTJOIN(" + ", TRUE, I237:M237)</f>
        <v/>
      </c>
    </row>
    <row r="238">
      <c r="A238" s="23" t="n"/>
      <c r="B238" s="1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7">
        <f>R238-Q238</f>
        <v/>
      </c>
      <c r="U238" s="7">
        <f>S238-Q238</f>
        <v/>
      </c>
      <c r="V238" s="1" t="n"/>
      <c r="W238" s="9">
        <f>S238-R238</f>
        <v/>
      </c>
      <c r="X238" s="9" t="n"/>
      <c r="AJ238" s="1" t="inlineStr">
        <is>
          <t>Otorrinolaringología - Rinoplastia</t>
        </is>
      </c>
      <c r="AM238">
        <f>_xlfn.TEXTJOIN(" + ", TRUE, I238:M238)</f>
        <v/>
      </c>
    </row>
    <row r="239">
      <c r="A239" s="23" t="n"/>
      <c r="B239" s="1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7">
        <f>R239-Q239</f>
        <v/>
      </c>
      <c r="U239" s="7">
        <f>S239-Q239</f>
        <v/>
      </c>
      <c r="V239" s="1" t="n"/>
      <c r="W239" s="9">
        <f>S239-R239</f>
        <v/>
      </c>
      <c r="X239" s="9" t="n"/>
      <c r="AJ239" s="1" t="inlineStr">
        <is>
          <t>Otorrinolaringología - Septoplastia</t>
        </is>
      </c>
      <c r="AM239">
        <f>_xlfn.TEXTJOIN(" + ", TRUE, I239:M239)</f>
        <v/>
      </c>
    </row>
    <row r="240">
      <c r="A240" s="23" t="n"/>
      <c r="B240" s="1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7">
        <f>R240-Q240</f>
        <v/>
      </c>
      <c r="U240" s="7">
        <f>S240-Q240</f>
        <v/>
      </c>
      <c r="V240" s="1" t="n"/>
      <c r="W240" s="9">
        <f>S240-R240</f>
        <v/>
      </c>
      <c r="X240" s="9" t="n"/>
      <c r="AJ240" s="1" t="inlineStr">
        <is>
          <t>Otorrinolaringología - Timpanoplastia</t>
        </is>
      </c>
      <c r="AM240">
        <f>_xlfn.TEXTJOIN(" + ", TRUE, I240:M240)</f>
        <v/>
      </c>
    </row>
    <row r="241">
      <c r="A241" s="23" t="n"/>
      <c r="B241" s="1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7">
        <f>R241-Q241</f>
        <v/>
      </c>
      <c r="U241" s="7">
        <f>S241-Q241</f>
        <v/>
      </c>
      <c r="V241" s="1" t="n"/>
      <c r="W241" s="9">
        <f>S241-R241</f>
        <v/>
      </c>
      <c r="X241" s="9" t="n"/>
      <c r="AJ241" s="1" t="inlineStr">
        <is>
          <t>Otorrinolaringología - Traqueostomía</t>
        </is>
      </c>
      <c r="AM241">
        <f>_xlfn.TEXTJOIN(" + ", TRUE, I241:M241)</f>
        <v/>
      </c>
    </row>
    <row r="242">
      <c r="A242" s="23" t="n"/>
      <c r="B242" s="1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7">
        <f>R242-Q242</f>
        <v/>
      </c>
      <c r="U242" s="7">
        <f>S242-Q242</f>
        <v/>
      </c>
      <c r="V242" s="1" t="n"/>
      <c r="W242" s="9">
        <f>S242-R242</f>
        <v/>
      </c>
      <c r="X242" s="9" t="n"/>
      <c r="AJ242" s="1" t="inlineStr">
        <is>
          <t>Procedimientos Endoscópicos - Broncoscopia</t>
        </is>
      </c>
      <c r="AM242">
        <f>_xlfn.TEXTJOIN(" + ", TRUE, I242:M242)</f>
        <v/>
      </c>
    </row>
    <row r="243">
      <c r="A243" s="23" t="n"/>
      <c r="B243" s="1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7">
        <f>R243-Q243</f>
        <v/>
      </c>
      <c r="U243" s="7">
        <f>S243-Q243</f>
        <v/>
      </c>
      <c r="V243" s="1" t="n"/>
      <c r="W243" s="9">
        <f>S243-R243</f>
        <v/>
      </c>
      <c r="X243" s="9" t="n"/>
      <c r="AJ243" s="1" t="inlineStr">
        <is>
          <t>Procedimientos Endoscópicos - Cateterismo cardíaco</t>
        </is>
      </c>
      <c r="AM243">
        <f>_xlfn.TEXTJOIN(" + ", TRUE, I243:M243)</f>
        <v/>
      </c>
    </row>
    <row r="244">
      <c r="A244" s="23" t="n"/>
      <c r="B244" s="1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7">
        <f>R244-Q244</f>
        <v/>
      </c>
      <c r="U244" s="7">
        <f>S244-Q244</f>
        <v/>
      </c>
      <c r="V244" s="1" t="n"/>
      <c r="W244" s="9">
        <f>S244-R244</f>
        <v/>
      </c>
      <c r="X244" s="9" t="n"/>
      <c r="AJ244" s="1" t="inlineStr">
        <is>
          <t>Procedimientos Endoscópicos - Colonoscopia</t>
        </is>
      </c>
      <c r="AM244">
        <f>_xlfn.TEXTJOIN(" + ", TRUE, I244:M244)</f>
        <v/>
      </c>
    </row>
    <row r="245">
      <c r="A245" s="23" t="n"/>
      <c r="B245" s="1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7">
        <f>R245-Q245</f>
        <v/>
      </c>
      <c r="U245" s="7">
        <f>S245-Q245</f>
        <v/>
      </c>
      <c r="V245" s="1" t="n"/>
      <c r="W245" s="9">
        <f>S245-R245</f>
        <v/>
      </c>
      <c r="X245" s="9" t="n"/>
      <c r="AJ245" s="1" t="inlineStr">
        <is>
          <t>Procedimientos Endoscópicos - CPRE</t>
        </is>
      </c>
      <c r="AM245">
        <f>_xlfn.TEXTJOIN(" + ", TRUE, I245:M245)</f>
        <v/>
      </c>
    </row>
    <row r="246">
      <c r="A246" s="23" t="n"/>
      <c r="B246" s="1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7">
        <f>R246-Q246</f>
        <v/>
      </c>
      <c r="U246" s="7">
        <f>S246-Q246</f>
        <v/>
      </c>
      <c r="V246" s="1" t="n"/>
      <c r="W246" s="9">
        <f>S246-R246</f>
        <v/>
      </c>
      <c r="X246" s="9" t="n"/>
      <c r="AJ246" s="1" t="inlineStr">
        <is>
          <t>Procedimientos Endoscópicos - Endoscopía + dilatación</t>
        </is>
      </c>
      <c r="AM246">
        <f>_xlfn.TEXTJOIN(" + ", TRUE, I246:M246)</f>
        <v/>
      </c>
    </row>
    <row r="247">
      <c r="A247" s="23" t="n"/>
      <c r="B247" s="1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7">
        <f>R247-Q247</f>
        <v/>
      </c>
      <c r="U247" s="7">
        <f>S247-Q247</f>
        <v/>
      </c>
      <c r="V247" s="1" t="n"/>
      <c r="W247" s="9">
        <f>S247-R247</f>
        <v/>
      </c>
      <c r="X247" s="9" t="n"/>
      <c r="AJ247" s="1" t="inlineStr">
        <is>
          <t>Procedimientos Endoscópicos - Endoscopia digestiva alta</t>
        </is>
      </c>
      <c r="AM247">
        <f>_xlfn.TEXTJOIN(" + ", TRUE, I247:M247)</f>
        <v/>
      </c>
    </row>
    <row r="248">
      <c r="A248" s="23" t="n"/>
      <c r="B248" s="1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7">
        <f>R248-Q248</f>
        <v/>
      </c>
      <c r="U248" s="7">
        <f>S248-Q248</f>
        <v/>
      </c>
      <c r="V248" s="1" t="n"/>
      <c r="W248" s="9">
        <f>S248-R248</f>
        <v/>
      </c>
      <c r="X248" s="9" t="n"/>
      <c r="AJ248" s="1" t="inlineStr">
        <is>
          <t>Procedimientos Endoscópicos - Endoscopía y toma de biopsia</t>
        </is>
      </c>
      <c r="AM248">
        <f>_xlfn.TEXTJOIN(" + ", TRUE, I248:M248)</f>
        <v/>
      </c>
    </row>
    <row r="249">
      <c r="A249" s="23" t="n"/>
      <c r="B249" s="1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7">
        <f>R249-Q249</f>
        <v/>
      </c>
      <c r="U249" s="7">
        <f>S249-Q249</f>
        <v/>
      </c>
      <c r="V249" s="1" t="n"/>
      <c r="W249" s="9">
        <f>S249-R249</f>
        <v/>
      </c>
      <c r="X249" s="9" t="n"/>
      <c r="AJ249" s="1" t="inlineStr">
        <is>
          <t>Procedimientos Endoscópicos - Polipectomía endoscópica</t>
        </is>
      </c>
      <c r="AM249">
        <f>_xlfn.TEXTJOIN(" + ", TRUE, I249:M249)</f>
        <v/>
      </c>
    </row>
    <row r="250">
      <c r="A250" s="23" t="n"/>
      <c r="B250" s="1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7">
        <f>R250-Q250</f>
        <v/>
      </c>
      <c r="U250" s="7">
        <f>S250-Q250</f>
        <v/>
      </c>
      <c r="V250" s="1" t="n"/>
      <c r="W250" s="9">
        <f>S250-R250</f>
        <v/>
      </c>
      <c r="X250" s="9" t="n"/>
      <c r="AJ250" s="1" t="inlineStr">
        <is>
          <t>Procedimientos Generales - Banding</t>
        </is>
      </c>
      <c r="AM250">
        <f>_xlfn.TEXTJOIN(" + ", TRUE, I250:M250)</f>
        <v/>
      </c>
    </row>
    <row r="251">
      <c r="A251" s="23" t="n"/>
      <c r="B251" s="1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7">
        <f>R251-Q251</f>
        <v/>
      </c>
      <c r="U251" s="7">
        <f>S251-Q251</f>
        <v/>
      </c>
      <c r="V251" s="1" t="n"/>
      <c r="W251" s="9">
        <f>S251-R251</f>
        <v/>
      </c>
      <c r="X251" s="9" t="n"/>
      <c r="AJ251" s="1" t="inlineStr">
        <is>
          <t>Procedimientos Generales - Lavado y desbridamiento</t>
        </is>
      </c>
      <c r="AM251">
        <f>_xlfn.TEXTJOIN(" + ", TRUE, I251:M251)</f>
        <v/>
      </c>
    </row>
    <row r="252">
      <c r="A252" s="23" t="n"/>
      <c r="B252" s="1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7">
        <f>R252-Q252</f>
        <v/>
      </c>
      <c r="U252" s="7">
        <f>S252-Q252</f>
        <v/>
      </c>
      <c r="V252" s="1" t="n"/>
      <c r="W252" s="9">
        <f>S252-R252</f>
        <v/>
      </c>
      <c r="X252" s="9" t="n"/>
      <c r="AJ252" s="1" t="inlineStr">
        <is>
          <t>Procedimientos Menores - Biopsia excisional</t>
        </is>
      </c>
      <c r="AM252">
        <f>_xlfn.TEXTJOIN(" + ", TRUE, I252:M252)</f>
        <v/>
      </c>
    </row>
    <row r="253">
      <c r="A253" s="23" t="n"/>
      <c r="B253" s="1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7">
        <f>R253-Q253</f>
        <v/>
      </c>
      <c r="U253" s="7">
        <f>S253-Q253</f>
        <v/>
      </c>
      <c r="V253" s="1" t="n"/>
      <c r="W253" s="9">
        <f>S253-R253</f>
        <v/>
      </c>
      <c r="X253" s="9" t="n"/>
      <c r="AJ253" s="1" t="inlineStr">
        <is>
          <t>Procedimientos Menores - Biopsia incisional</t>
        </is>
      </c>
      <c r="AM253">
        <f>_xlfn.TEXTJOIN(" + ", TRUE, I253:M253)</f>
        <v/>
      </c>
    </row>
    <row r="254">
      <c r="A254" s="23" t="n"/>
      <c r="B254" s="1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7">
        <f>R254-Q254</f>
        <v/>
      </c>
      <c r="U254" s="7">
        <f>S254-Q254</f>
        <v/>
      </c>
      <c r="V254" s="1" t="n"/>
      <c r="W254" s="9">
        <f>S254-R254</f>
        <v/>
      </c>
      <c r="X254" s="9" t="n"/>
      <c r="AJ254" s="1" t="inlineStr">
        <is>
          <t>Procedimientos Menores - Cauterización</t>
        </is>
      </c>
      <c r="AM254">
        <f>_xlfn.TEXTJOIN(" + ", TRUE, I254:M254)</f>
        <v/>
      </c>
    </row>
    <row r="255">
      <c r="A255" s="23" t="n"/>
      <c r="B255" s="1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7">
        <f>R255-Q255</f>
        <v/>
      </c>
      <c r="U255" s="7">
        <f>S255-Q255</f>
        <v/>
      </c>
      <c r="V255" s="1" t="n"/>
      <c r="W255" s="9">
        <f>S255-R255</f>
        <v/>
      </c>
      <c r="X255" s="9" t="n"/>
      <c r="AJ255" s="1" t="inlineStr">
        <is>
          <t>Procedimientos Menores - Drenaje de absceso</t>
        </is>
      </c>
      <c r="AM255">
        <f>_xlfn.TEXTJOIN(" + ", TRUE, I255:M255)</f>
        <v/>
      </c>
    </row>
    <row r="256">
      <c r="A256" s="23" t="n"/>
      <c r="B256" s="1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7">
        <f>R256-Q256</f>
        <v/>
      </c>
      <c r="U256" s="7">
        <f>S256-Q256</f>
        <v/>
      </c>
      <c r="V256" s="1" t="n"/>
      <c r="W256" s="9">
        <f>S256-R256</f>
        <v/>
      </c>
      <c r="X256" s="9" t="n"/>
      <c r="AJ256" s="1" t="inlineStr">
        <is>
          <t>Procedimientos Menores - Extracción de cuerpos extraños</t>
        </is>
      </c>
      <c r="AM256">
        <f>_xlfn.TEXTJOIN(" + ", TRUE, I256:M256)</f>
        <v/>
      </c>
    </row>
    <row r="257">
      <c r="A257" s="23" t="n"/>
      <c r="B257" s="1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7">
        <f>R257-Q257</f>
        <v/>
      </c>
      <c r="U257" s="7">
        <f>S257-Q257</f>
        <v/>
      </c>
      <c r="V257" s="1" t="n"/>
      <c r="W257" s="9">
        <f>S257-R257</f>
        <v/>
      </c>
      <c r="X257" s="9" t="n"/>
      <c r="AJ257" s="1" t="inlineStr">
        <is>
          <t>Procedimientos Menores - Sutura de heridas</t>
        </is>
      </c>
      <c r="AM257">
        <f>_xlfn.TEXTJOIN(" + ", TRUE, I257:M257)</f>
        <v/>
      </c>
    </row>
    <row r="258">
      <c r="A258" s="23" t="n"/>
      <c r="B258" s="1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7">
        <f>R258-Q258</f>
        <v/>
      </c>
      <c r="U258" s="7">
        <f>S258-Q258</f>
        <v/>
      </c>
      <c r="V258" s="1" t="n"/>
      <c r="W258" s="9">
        <f>S258-R258</f>
        <v/>
      </c>
      <c r="X258" s="9" t="n"/>
      <c r="AJ258" s="1" t="inlineStr">
        <is>
          <t>Trasplantes - Trasplante de médula ósea</t>
        </is>
      </c>
      <c r="AM258">
        <f>_xlfn.TEXTJOIN(" + ", TRUE, I258:M258)</f>
        <v/>
      </c>
    </row>
    <row r="259">
      <c r="A259" s="23" t="n"/>
      <c r="B259" s="1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7">
        <f>R259-Q259</f>
        <v/>
      </c>
      <c r="U259" s="7">
        <f>S259-Q259</f>
        <v/>
      </c>
      <c r="V259" s="1" t="n"/>
      <c r="W259" s="9">
        <f>S259-R259</f>
        <v/>
      </c>
      <c r="X259" s="9" t="n"/>
      <c r="AJ259" s="1" t="inlineStr">
        <is>
          <t>Trasplantes - Trasplante hepático</t>
        </is>
      </c>
      <c r="AM259">
        <f>_xlfn.TEXTJOIN(" + ", TRUE, I259:M259)</f>
        <v/>
      </c>
    </row>
    <row r="260">
      <c r="A260" s="23" t="n"/>
      <c r="B260" s="1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7">
        <f>R260-Q260</f>
        <v/>
      </c>
      <c r="U260" s="7">
        <f>S260-Q260</f>
        <v/>
      </c>
      <c r="V260" s="1" t="n"/>
      <c r="W260" s="9">
        <f>S260-R260</f>
        <v/>
      </c>
      <c r="X260" s="9" t="n"/>
      <c r="AJ260" s="1" t="inlineStr">
        <is>
          <t>Trasplantes - Trasplante pancreático</t>
        </is>
      </c>
      <c r="AM260">
        <f>_xlfn.TEXTJOIN(" + ", TRUE, I260:M260)</f>
        <v/>
      </c>
    </row>
    <row r="261">
      <c r="A261" s="23" t="n"/>
      <c r="B261" s="1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7">
        <f>R261-Q261</f>
        <v/>
      </c>
      <c r="U261" s="7">
        <f>S261-Q261</f>
        <v/>
      </c>
      <c r="V261" s="1" t="n"/>
      <c r="W261" s="9">
        <f>S261-R261</f>
        <v/>
      </c>
      <c r="X261" s="9" t="n"/>
      <c r="AJ261" s="1" t="inlineStr">
        <is>
          <t>Trasplantes - Trasplante pulmonar</t>
        </is>
      </c>
      <c r="AM261">
        <f>_xlfn.TEXTJOIN(" + ", TRUE, I261:M261)</f>
        <v/>
      </c>
    </row>
    <row r="262">
      <c r="A262" s="23" t="n"/>
      <c r="B262" s="1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7">
        <f>R262-Q262</f>
        <v/>
      </c>
      <c r="U262" s="7">
        <f>S262-Q262</f>
        <v/>
      </c>
      <c r="V262" s="1" t="n"/>
      <c r="W262" s="9">
        <f>S262-R262</f>
        <v/>
      </c>
      <c r="X262" s="9" t="n"/>
      <c r="AJ262" s="1" t="inlineStr">
        <is>
          <t>Trasplantes - Trasplante renal</t>
        </is>
      </c>
      <c r="AM262">
        <f>_xlfn.TEXTJOIN(" + ", TRUE, I262:M262)</f>
        <v/>
      </c>
    </row>
    <row r="263">
      <c r="A263" s="23" t="n"/>
      <c r="B263" s="1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7">
        <f>R263-Q263</f>
        <v/>
      </c>
      <c r="U263" s="7">
        <f>S263-Q263</f>
        <v/>
      </c>
      <c r="V263" s="1" t="n"/>
      <c r="W263" s="9">
        <f>S263-R263</f>
        <v/>
      </c>
      <c r="X263" s="9" t="n"/>
      <c r="AJ263" s="1" t="inlineStr">
        <is>
          <t>Traumatología y Ortopedia - Amputación</t>
        </is>
      </c>
      <c r="AM263">
        <f>_xlfn.TEXTJOIN(" + ", TRUE, I263:M263)</f>
        <v/>
      </c>
    </row>
    <row r="264">
      <c r="A264" s="23" t="n"/>
      <c r="B264" s="1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7">
        <f>R264-Q264</f>
        <v/>
      </c>
      <c r="U264" s="7">
        <f>S264-Q264</f>
        <v/>
      </c>
      <c r="V264" s="1" t="n"/>
      <c r="W264" s="9">
        <f>S264-R264</f>
        <v/>
      </c>
      <c r="X264" s="9" t="n"/>
      <c r="AJ264" s="1" t="inlineStr">
        <is>
          <t>Traumatología y Ortopedia - Artroplastia</t>
        </is>
      </c>
      <c r="AM264">
        <f>_xlfn.TEXTJOIN(" + ", TRUE, I264:M264)</f>
        <v/>
      </c>
    </row>
    <row r="265">
      <c r="A265" s="23" t="n"/>
      <c r="B265" s="1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7">
        <f>R265-Q265</f>
        <v/>
      </c>
      <c r="U265" s="7">
        <f>S265-Q265</f>
        <v/>
      </c>
      <c r="V265" s="1" t="n"/>
      <c r="W265" s="9">
        <f>S265-R265</f>
        <v/>
      </c>
      <c r="X265" s="9" t="n"/>
      <c r="AJ265" s="1" t="inlineStr">
        <is>
          <t>Traumatología y Ortopedia - Artroscopía</t>
        </is>
      </c>
      <c r="AM265">
        <f>_xlfn.TEXTJOIN(" + ", TRUE, I265:M265)</f>
        <v/>
      </c>
    </row>
    <row r="266">
      <c r="A266" s="23" t="n"/>
      <c r="B266" s="1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7">
        <f>R266-Q266</f>
        <v/>
      </c>
      <c r="U266" s="7">
        <f>S266-Q266</f>
        <v/>
      </c>
      <c r="V266" s="1" t="n"/>
      <c r="W266" s="9">
        <f>S266-R266</f>
        <v/>
      </c>
      <c r="X266" s="9" t="n"/>
      <c r="AJ266" s="1" t="inlineStr">
        <is>
          <t>Traumatología y Ortopedia - Cirugía de columna</t>
        </is>
      </c>
      <c r="AM266">
        <f>_xlfn.TEXTJOIN(" + ", TRUE, I266:M266)</f>
        <v/>
      </c>
    </row>
    <row r="267">
      <c r="A267" s="23" t="n"/>
      <c r="B267" s="1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7">
        <f>R267-Q267</f>
        <v/>
      </c>
      <c r="U267" s="7">
        <f>S267-Q267</f>
        <v/>
      </c>
      <c r="V267" s="1" t="n"/>
      <c r="W267" s="9">
        <f>S267-R267</f>
        <v/>
      </c>
      <c r="X267" s="9" t="n"/>
      <c r="AJ267" s="1" t="inlineStr">
        <is>
          <t>Traumatología y Ortopedia - Cirugía de mano</t>
        </is>
      </c>
      <c r="AM267">
        <f>_xlfn.TEXTJOIN(" + ", TRUE, I267:M267)</f>
        <v/>
      </c>
    </row>
    <row r="268">
      <c r="A268" s="23" t="n"/>
      <c r="B268" s="1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7">
        <f>R268-Q268</f>
        <v/>
      </c>
      <c r="U268" s="7">
        <f>S268-Q268</f>
        <v/>
      </c>
      <c r="V268" s="1" t="n"/>
      <c r="W268" s="9">
        <f>S268-R268</f>
        <v/>
      </c>
      <c r="X268" s="9" t="n"/>
      <c r="AJ268" s="1" t="inlineStr">
        <is>
          <t>Traumatología y Ortopedia - Cirugía de pie</t>
        </is>
      </c>
      <c r="AM268">
        <f>_xlfn.TEXTJOIN(" + ", TRUE, I268:M268)</f>
        <v/>
      </c>
    </row>
    <row r="269">
      <c r="A269" s="23" t="n"/>
      <c r="B269" s="1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7">
        <f>R269-Q269</f>
        <v/>
      </c>
      <c r="U269" s="7">
        <f>S269-Q269</f>
        <v/>
      </c>
      <c r="V269" s="1" t="n"/>
      <c r="W269" s="9">
        <f>S269-R269</f>
        <v/>
      </c>
      <c r="X269" s="9" t="n"/>
      <c r="AJ269" s="1" t="inlineStr">
        <is>
          <t>Traumatología y Ortopedia - Corrección de deformidades</t>
        </is>
      </c>
      <c r="AM269">
        <f>_xlfn.TEXTJOIN(" + ", TRUE, I269:M269)</f>
        <v/>
      </c>
    </row>
    <row r="270">
      <c r="A270" s="23" t="n"/>
      <c r="B270" s="1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7">
        <f>R270-Q270</f>
        <v/>
      </c>
      <c r="U270" s="7">
        <f>S270-Q270</f>
        <v/>
      </c>
      <c r="V270" s="1" t="n"/>
      <c r="W270" s="9">
        <f>S270-R270</f>
        <v/>
      </c>
      <c r="X270" s="9" t="n"/>
      <c r="AJ270" s="1" t="inlineStr">
        <is>
          <t>Traumatología y Ortopedia - Corrección de escoliosis</t>
        </is>
      </c>
      <c r="AM270">
        <f>_xlfn.TEXTJOIN(" + ", TRUE, I270:M270)</f>
        <v/>
      </c>
    </row>
    <row r="271">
      <c r="A271" s="23" t="n"/>
      <c r="B271" s="1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7">
        <f>R271-Q271</f>
        <v/>
      </c>
      <c r="U271" s="7">
        <f>S271-Q271</f>
        <v/>
      </c>
      <c r="V271" s="1" t="n"/>
      <c r="W271" s="9">
        <f>S271-R271</f>
        <v/>
      </c>
      <c r="X271" s="9" t="n"/>
      <c r="AJ271" s="1" t="inlineStr">
        <is>
          <t>Traumatología y Ortopedia - Fijación externa</t>
        </is>
      </c>
      <c r="AM271">
        <f>_xlfn.TEXTJOIN(" + ", TRUE, I271:M271)</f>
        <v/>
      </c>
    </row>
    <row r="272">
      <c r="A272" s="23" t="n"/>
      <c r="B272" s="1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7">
        <f>R272-Q272</f>
        <v/>
      </c>
      <c r="U272" s="7">
        <f>S272-Q272</f>
        <v/>
      </c>
      <c r="V272" s="1" t="n"/>
      <c r="W272" s="9">
        <f>S272-R272</f>
        <v/>
      </c>
      <c r="X272" s="9" t="n"/>
      <c r="AJ272" s="1" t="inlineStr">
        <is>
          <t>Traumatología y Ortopedia - Fijación percutánea</t>
        </is>
      </c>
      <c r="AM272">
        <f>_xlfn.TEXTJOIN(" + ", TRUE, I272:M272)</f>
        <v/>
      </c>
    </row>
    <row r="273">
      <c r="A273" s="23" t="n"/>
      <c r="B273" s="1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7">
        <f>R273-Q273</f>
        <v/>
      </c>
      <c r="U273" s="7">
        <f>S273-Q273</f>
        <v/>
      </c>
      <c r="V273" s="1" t="n"/>
      <c r="W273" s="9">
        <f>S273-R273</f>
        <v/>
      </c>
      <c r="X273" s="9" t="n"/>
      <c r="AJ273" s="1" t="inlineStr">
        <is>
          <t>Traumatología y Ortopedia - Fijador externo</t>
        </is>
      </c>
      <c r="AM273">
        <f>_xlfn.TEXTJOIN(" + ", TRUE, I273:M273)</f>
        <v/>
      </c>
    </row>
    <row r="274">
      <c r="A274" s="23" t="n"/>
      <c r="B274" s="1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7">
        <f>R274-Q274</f>
        <v/>
      </c>
      <c r="U274" s="7">
        <f>S274-Q274</f>
        <v/>
      </c>
      <c r="V274" s="1" t="n"/>
      <c r="W274" s="9">
        <f>S274-R274</f>
        <v/>
      </c>
      <c r="X274" s="9" t="n"/>
      <c r="AJ274" s="1" t="inlineStr">
        <is>
          <t>Traumatología y Ortopedia - Infección en sitio quirúrgico</t>
        </is>
      </c>
      <c r="AM274">
        <f>_xlfn.TEXTJOIN(" + ", TRUE, I274:M274)</f>
        <v/>
      </c>
    </row>
    <row r="275">
      <c r="A275" s="23" t="n"/>
      <c r="B275" s="1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7">
        <f>R275-Q275</f>
        <v/>
      </c>
      <c r="U275" s="7">
        <f>S275-Q275</f>
        <v/>
      </c>
      <c r="V275" s="1" t="n"/>
      <c r="W275" s="9">
        <f>S275-R275</f>
        <v/>
      </c>
      <c r="X275" s="9" t="n"/>
      <c r="AJ275" s="1" t="inlineStr">
        <is>
          <t>Traumatología y Ortopedia - Liberación del túnel carpiano</t>
        </is>
      </c>
      <c r="AM275">
        <f>_xlfn.TEXTJOIN(" + ", TRUE, I275:M275)</f>
        <v/>
      </c>
    </row>
    <row r="276">
      <c r="A276" s="23" t="n"/>
      <c r="B276" s="1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7">
        <f>R276-Q276</f>
        <v/>
      </c>
      <c r="U276" s="7">
        <f>S276-Q276</f>
        <v/>
      </c>
      <c r="V276" s="1" t="n"/>
      <c r="W276" s="9">
        <f>S276-R276</f>
        <v/>
      </c>
      <c r="X276" s="9" t="n"/>
      <c r="AJ276" s="1" t="inlineStr">
        <is>
          <t>Traumatología y Ortopedia - Manejo conservador</t>
        </is>
      </c>
      <c r="AM276">
        <f>_xlfn.TEXTJOIN(" + ", TRUE, I276:M276)</f>
        <v/>
      </c>
    </row>
    <row r="277">
      <c r="A277" s="23" t="n"/>
      <c r="B277" s="1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7">
        <f>R277-Q277</f>
        <v/>
      </c>
      <c r="U277" s="7">
        <f>S277-Q277</f>
        <v/>
      </c>
      <c r="V277" s="1" t="n"/>
      <c r="W277" s="9">
        <f>S277-R277</f>
        <v/>
      </c>
      <c r="X277" s="9" t="n"/>
      <c r="AJ277" s="1" t="inlineStr">
        <is>
          <t>Traumatología y Ortopedia - Meniscectomía</t>
        </is>
      </c>
      <c r="AM277">
        <f>_xlfn.TEXTJOIN(" + ", TRUE, I277:M277)</f>
        <v/>
      </c>
    </row>
    <row r="278">
      <c r="A278" s="23" t="n"/>
      <c r="B278" s="1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7">
        <f>R278-Q278</f>
        <v/>
      </c>
      <c r="U278" s="7">
        <f>S278-Q278</f>
        <v/>
      </c>
      <c r="V278" s="1" t="n"/>
      <c r="W278" s="9">
        <f>S278-R278</f>
        <v/>
      </c>
      <c r="X278" s="9" t="n"/>
      <c r="AJ278" s="1" t="inlineStr">
        <is>
          <t>Traumatología y Ortopedia - Osteosíntesis</t>
        </is>
      </c>
      <c r="AM278">
        <f>_xlfn.TEXTJOIN(" + ", TRUE, I278:M278)</f>
        <v/>
      </c>
    </row>
    <row r="279">
      <c r="A279" s="23" t="n"/>
      <c r="B279" s="1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7">
        <f>R279-Q279</f>
        <v/>
      </c>
      <c r="U279" s="7">
        <f>S279-Q279</f>
        <v/>
      </c>
      <c r="V279" s="1" t="n"/>
      <c r="W279" s="9">
        <f>S279-R279</f>
        <v/>
      </c>
      <c r="X279" s="9" t="n"/>
      <c r="AJ279" s="1" t="inlineStr">
        <is>
          <t>Traumatología y Ortopedia - Osteostomía</t>
        </is>
      </c>
      <c r="AM279">
        <f>_xlfn.TEXTJOIN(" + ", TRUE, I279:M279)</f>
        <v/>
      </c>
    </row>
    <row r="280">
      <c r="A280" s="23" t="n"/>
      <c r="B280" s="1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7">
        <f>R280-Q280</f>
        <v/>
      </c>
      <c r="U280" s="7">
        <f>S280-Q280</f>
        <v/>
      </c>
      <c r="V280" s="1" t="n"/>
      <c r="W280" s="9">
        <f>S280-R280</f>
        <v/>
      </c>
      <c r="X280" s="9" t="n"/>
      <c r="AJ280" s="1" t="inlineStr">
        <is>
          <t>Traumatología y Ortopedia - Reducción abierta y fijación interna (RAFI)</t>
        </is>
      </c>
      <c r="AM280">
        <f>_xlfn.TEXTJOIN(" + ", TRUE, I280:M280)</f>
        <v/>
      </c>
    </row>
    <row r="281">
      <c r="A281" s="23" t="n"/>
      <c r="B281" s="1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7">
        <f>R281-Q281</f>
        <v/>
      </c>
      <c r="U281" s="7">
        <f>S281-Q281</f>
        <v/>
      </c>
      <c r="V281" s="1" t="n"/>
      <c r="W281" s="9">
        <f>S281-R281</f>
        <v/>
      </c>
      <c r="X281" s="9" t="n"/>
      <c r="AJ281" s="1" t="inlineStr">
        <is>
          <t>Traumatología y Ortopedia - Reducción cerrada de fractura</t>
        </is>
      </c>
      <c r="AM281">
        <f>_xlfn.TEXTJOIN(" + ", TRUE, I281:M281)</f>
        <v/>
      </c>
    </row>
    <row r="282">
      <c r="A282" s="23" t="n"/>
      <c r="B282" s="1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7">
        <f>R282-Q282</f>
        <v/>
      </c>
      <c r="U282" s="7">
        <f>S282-Q282</f>
        <v/>
      </c>
      <c r="V282" s="1" t="n"/>
      <c r="W282" s="9">
        <f>S282-R282</f>
        <v/>
      </c>
      <c r="X282" s="9" t="n"/>
      <c r="AJ282" s="1" t="inlineStr">
        <is>
          <t>Traumatología y Ortopedia - Reemplazo de cadera</t>
        </is>
      </c>
      <c r="AM282">
        <f>_xlfn.TEXTJOIN(" + ", TRUE, I282:M282)</f>
        <v/>
      </c>
    </row>
    <row r="283">
      <c r="A283" s="23" t="n"/>
      <c r="B283" s="1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7">
        <f>R283-Q283</f>
        <v/>
      </c>
      <c r="U283" s="7">
        <f>S283-Q283</f>
        <v/>
      </c>
      <c r="V283" s="1" t="n"/>
      <c r="W283" s="9">
        <f>S283-R283</f>
        <v/>
      </c>
      <c r="X283" s="9" t="n"/>
      <c r="AJ283" s="1" t="inlineStr">
        <is>
          <t>Traumatología y Ortopedia - Reemplazo de rodilla</t>
        </is>
      </c>
      <c r="AM283">
        <f>_xlfn.TEXTJOIN(" + ", TRUE, I283:M283)</f>
        <v/>
      </c>
    </row>
    <row r="284">
      <c r="A284" s="23" t="n"/>
      <c r="B284" s="1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7">
        <f>R284-Q284</f>
        <v/>
      </c>
      <c r="U284" s="7">
        <f>S284-Q284</f>
        <v/>
      </c>
      <c r="V284" s="1" t="n"/>
      <c r="W284" s="9">
        <f>S284-R284</f>
        <v/>
      </c>
      <c r="X284" s="9" t="n"/>
      <c r="AJ284" s="1" t="inlineStr">
        <is>
          <t>Traumatología y Ortopedia - Reparación de ligamentos</t>
        </is>
      </c>
      <c r="AM284">
        <f>_xlfn.TEXTJOIN(" + ", TRUE, I284:M284)</f>
        <v/>
      </c>
    </row>
    <row r="285">
      <c r="A285" s="23" t="n"/>
      <c r="B285" s="1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7">
        <f>R285-Q285</f>
        <v/>
      </c>
      <c r="U285" s="7">
        <f>S285-Q285</f>
        <v/>
      </c>
      <c r="V285" s="1" t="n"/>
      <c r="W285" s="9">
        <f>S285-R285</f>
        <v/>
      </c>
      <c r="X285" s="9" t="n"/>
      <c r="AJ285" s="1" t="inlineStr">
        <is>
          <t>Traumatología y Ortopedia - Reparación de tendones</t>
        </is>
      </c>
      <c r="AM285">
        <f>_xlfn.TEXTJOIN(" + ", TRUE, I285:M285)</f>
        <v/>
      </c>
    </row>
    <row r="286">
      <c r="A286" s="23" t="n"/>
      <c r="B286" s="1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7">
        <f>R286-Q286</f>
        <v/>
      </c>
      <c r="U286" s="7">
        <f>S286-Q286</f>
        <v/>
      </c>
      <c r="V286" s="1" t="n"/>
      <c r="W286" s="9">
        <f>S286-R286</f>
        <v/>
      </c>
      <c r="X286" s="9" t="n"/>
      <c r="AJ286" s="1" t="inlineStr">
        <is>
          <t>Traumatología y Ortopedia - Síndrome compartimental (fasciotomía)</t>
        </is>
      </c>
      <c r="AM286">
        <f>_xlfn.TEXTJOIN(" + ", TRUE, I286:M286)</f>
        <v/>
      </c>
    </row>
    <row r="287">
      <c r="A287" s="23" t="n"/>
      <c r="B287" s="1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7">
        <f>R287-Q287</f>
        <v/>
      </c>
      <c r="U287" s="7">
        <f>S287-Q287</f>
        <v/>
      </c>
      <c r="V287" s="1" t="n"/>
      <c r="W287" s="9">
        <f>S287-R287</f>
        <v/>
      </c>
      <c r="X287" s="9" t="n"/>
      <c r="AJ287" s="1" t="inlineStr">
        <is>
          <t>Traumatología y Ortopedia - Tenorrafia</t>
        </is>
      </c>
      <c r="AM287">
        <f>_xlfn.TEXTJOIN(" + ", TRUE, I287:M287)</f>
        <v/>
      </c>
    </row>
    <row r="288">
      <c r="A288" s="23" t="n"/>
      <c r="B288" s="1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7">
        <f>R288-Q288</f>
        <v/>
      </c>
      <c r="U288" s="7">
        <f>S288-Q288</f>
        <v/>
      </c>
      <c r="V288" s="1" t="n"/>
      <c r="W288" s="9">
        <f>S288-R288</f>
        <v/>
      </c>
      <c r="X288" s="9" t="n"/>
      <c r="AJ288" s="1" t="inlineStr">
        <is>
          <t>Traumatología y Ortopedia - Tratamiento quirúrgico de fractura expuesta</t>
        </is>
      </c>
      <c r="AM288">
        <f>_xlfn.TEXTJOIN(" + ", TRUE, I288:M288)</f>
        <v/>
      </c>
    </row>
    <row r="289">
      <c r="A289" s="23" t="n"/>
      <c r="B289" s="1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7">
        <f>R289-Q289</f>
        <v/>
      </c>
      <c r="U289" s="7">
        <f>S289-Q289</f>
        <v/>
      </c>
      <c r="V289" s="1" t="n"/>
      <c r="W289" s="9">
        <f>S289-R289</f>
        <v/>
      </c>
      <c r="X289" s="9" t="n"/>
      <c r="AJ289" s="1" t="inlineStr">
        <is>
          <t>Urología - Circuncisión</t>
        </is>
      </c>
      <c r="AM289">
        <f>_xlfn.TEXTJOIN(" + ", TRUE, I289:M289)</f>
        <v/>
      </c>
    </row>
    <row r="290">
      <c r="A290" s="23" t="n"/>
      <c r="B290" s="1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7">
        <f>R290-Q290</f>
        <v/>
      </c>
      <c r="U290" s="7">
        <f>S290-Q290</f>
        <v/>
      </c>
      <c r="V290" s="1" t="n"/>
      <c r="W290" s="9">
        <f>S290-R290</f>
        <v/>
      </c>
      <c r="X290" s="9" t="n"/>
      <c r="AJ290" s="1" t="inlineStr">
        <is>
          <t>Urología - Cirugía de hidrocele</t>
        </is>
      </c>
      <c r="AM290">
        <f>_xlfn.TEXTJOIN(" + ", TRUE, I290:M290)</f>
        <v/>
      </c>
    </row>
    <row r="291">
      <c r="A291" s="23" t="n"/>
      <c r="B291" s="1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7">
        <f>R291-Q291</f>
        <v/>
      </c>
      <c r="U291" s="7">
        <f>S291-Q291</f>
        <v/>
      </c>
      <c r="V291" s="1" t="n"/>
      <c r="W291" s="9">
        <f>S291-R291</f>
        <v/>
      </c>
      <c r="X291" s="9" t="n"/>
      <c r="AJ291" s="1" t="inlineStr">
        <is>
          <t>Urología - Cirugía de varicocele</t>
        </is>
      </c>
      <c r="AM291">
        <f>_xlfn.TEXTJOIN(" + ", TRUE, I291:M291)</f>
        <v/>
      </c>
    </row>
    <row r="292">
      <c r="A292" s="23" t="n"/>
      <c r="B292" s="1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7">
        <f>R292-Q292</f>
        <v/>
      </c>
      <c r="U292" s="7">
        <f>S292-Q292</f>
        <v/>
      </c>
      <c r="V292" s="1" t="n"/>
      <c r="W292" s="9">
        <f>S292-R292</f>
        <v/>
      </c>
      <c r="X292" s="9" t="n"/>
      <c r="AJ292" s="1" t="inlineStr">
        <is>
          <t>Urología - Cistolitotomía</t>
        </is>
      </c>
      <c r="AM292">
        <f>_xlfn.TEXTJOIN(" + ", TRUE, I292:M292)</f>
        <v/>
      </c>
    </row>
    <row r="293">
      <c r="A293" s="23" t="n"/>
      <c r="B293" s="1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7">
        <f>R293-Q293</f>
        <v/>
      </c>
      <c r="U293" s="7">
        <f>S293-Q293</f>
        <v/>
      </c>
      <c r="V293" s="1" t="n"/>
      <c r="W293" s="9">
        <f>S293-R293</f>
        <v/>
      </c>
      <c r="X293" s="9" t="n"/>
      <c r="AJ293" s="1" t="inlineStr">
        <is>
          <t>Urología - Cistoscopia</t>
        </is>
      </c>
      <c r="AM293">
        <f>_xlfn.TEXTJOIN(" + ", TRUE, I293:M293)</f>
        <v/>
      </c>
    </row>
    <row r="294">
      <c r="A294" s="23" t="n"/>
      <c r="B294" s="1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7">
        <f>R294-Q294</f>
        <v/>
      </c>
      <c r="U294" s="7">
        <f>S294-Q294</f>
        <v/>
      </c>
      <c r="V294" s="1" t="n"/>
      <c r="W294" s="9">
        <f>S294-R294</f>
        <v/>
      </c>
      <c r="X294" s="9" t="n"/>
      <c r="AJ294" s="1" t="inlineStr">
        <is>
          <t>Urología - Colocación de catéter doble J</t>
        </is>
      </c>
      <c r="AM294">
        <f>_xlfn.TEXTJOIN(" + ", TRUE, I294:M294)</f>
        <v/>
      </c>
    </row>
    <row r="295">
      <c r="A295" s="23" t="n"/>
      <c r="B295" s="1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7">
        <f>R295-Q295</f>
        <v/>
      </c>
      <c r="U295" s="7">
        <f>S295-Q295</f>
        <v/>
      </c>
      <c r="V295" s="1" t="n"/>
      <c r="W295" s="9">
        <f>S295-R295</f>
        <v/>
      </c>
      <c r="X295" s="9" t="n"/>
      <c r="AJ295" s="1" t="inlineStr">
        <is>
          <t>Urología - Hidrocelectomía</t>
        </is>
      </c>
      <c r="AM295">
        <f>_xlfn.TEXTJOIN(" + ", TRUE, I295:M295)</f>
        <v/>
      </c>
    </row>
    <row r="296">
      <c r="A296" s="23" t="n"/>
      <c r="B296" s="1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7">
        <f>R296-Q296</f>
        <v/>
      </c>
      <c r="U296" s="7">
        <f>S296-Q296</f>
        <v/>
      </c>
      <c r="V296" s="1" t="n"/>
      <c r="W296" s="9">
        <f>S296-R296</f>
        <v/>
      </c>
      <c r="X296" s="9" t="n"/>
      <c r="AJ296" s="1" t="inlineStr">
        <is>
          <t>Urología - Infección del tracto urinario (UTI)</t>
        </is>
      </c>
      <c r="AM296">
        <f>_xlfn.TEXTJOIN(" + ", TRUE, I296:M296)</f>
        <v/>
      </c>
    </row>
    <row r="297">
      <c r="A297" s="23" t="n"/>
      <c r="B297" s="1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7">
        <f>R297-Q297</f>
        <v/>
      </c>
      <c r="U297" s="7">
        <f>S297-Q297</f>
        <v/>
      </c>
      <c r="V297" s="1" t="n"/>
      <c r="W297" s="9">
        <f>S297-R297</f>
        <v/>
      </c>
      <c r="X297" s="9" t="n"/>
      <c r="AJ297" s="1" t="inlineStr">
        <is>
          <t>Urología - Litotricia</t>
        </is>
      </c>
      <c r="AM297">
        <f>_xlfn.TEXTJOIN(" + ", TRUE, I297:M297)</f>
        <v/>
      </c>
    </row>
    <row r="298">
      <c r="A298" s="23" t="n"/>
      <c r="B298" s="1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7">
        <f>R298-Q298</f>
        <v/>
      </c>
      <c r="U298" s="7">
        <f>S298-Q298</f>
        <v/>
      </c>
      <c r="V298" s="1" t="n"/>
      <c r="W298" s="9">
        <f>S298-R298</f>
        <v/>
      </c>
      <c r="X298" s="9" t="n"/>
      <c r="AJ298" s="1" t="inlineStr">
        <is>
          <t>Urología - Nefrectomía</t>
        </is>
      </c>
      <c r="AM298">
        <f>_xlfn.TEXTJOIN(" + ", TRUE, I298:M298)</f>
        <v/>
      </c>
    </row>
    <row r="299">
      <c r="A299" s="23" t="n"/>
      <c r="B299" s="1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7">
        <f>R299-Q299</f>
        <v/>
      </c>
      <c r="U299" s="7">
        <f>S299-Q299</f>
        <v/>
      </c>
      <c r="V299" s="1" t="n"/>
      <c r="W299" s="9">
        <f>S299-R299</f>
        <v/>
      </c>
      <c r="X299" s="9" t="n"/>
      <c r="AJ299" s="1" t="inlineStr">
        <is>
          <t>Urología - Nefrostomía</t>
        </is>
      </c>
      <c r="AM299">
        <f>_xlfn.TEXTJOIN(" + ", TRUE, I299:M299)</f>
        <v/>
      </c>
    </row>
    <row r="300">
      <c r="A300" s="23" t="n"/>
      <c r="B300" s="1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7">
        <f>R300-Q300</f>
        <v/>
      </c>
      <c r="U300" s="7">
        <f>S300-Q300</f>
        <v/>
      </c>
      <c r="V300" s="1" t="n"/>
      <c r="W300" s="9">
        <f>S300-R300</f>
        <v/>
      </c>
      <c r="X300" s="9" t="n"/>
      <c r="AJ300" s="1" t="inlineStr">
        <is>
          <t>Urología - Orquiectomía</t>
        </is>
      </c>
      <c r="AM300">
        <f>_xlfn.TEXTJOIN(" + ", TRUE, I300:M300)</f>
        <v/>
      </c>
    </row>
    <row r="301">
      <c r="A301" s="23" t="n"/>
      <c r="B301" s="1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7">
        <f>R301-Q301</f>
        <v/>
      </c>
      <c r="U301" s="7">
        <f>S301-Q301</f>
        <v/>
      </c>
      <c r="V301" s="1" t="n"/>
      <c r="W301" s="9">
        <f>S301-R301</f>
        <v/>
      </c>
      <c r="X301" s="9" t="n"/>
      <c r="AJ301" s="1" t="inlineStr">
        <is>
          <t>Urología - Pieloplastía</t>
        </is>
      </c>
      <c r="AM301">
        <f>_xlfn.TEXTJOIN(" + ", TRUE, I301:M301)</f>
        <v/>
      </c>
    </row>
    <row r="302">
      <c r="A302" s="23" t="n"/>
      <c r="B302" s="1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7">
        <f>R302-Q302</f>
        <v/>
      </c>
      <c r="U302" s="7">
        <f>S302-Q302</f>
        <v/>
      </c>
      <c r="V302" s="1" t="n"/>
      <c r="W302" s="9">
        <f>S302-R302</f>
        <v/>
      </c>
      <c r="X302" s="9" t="n"/>
      <c r="AJ302" s="1" t="inlineStr">
        <is>
          <t>Urología - Prostatectomía</t>
        </is>
      </c>
      <c r="AM302">
        <f>_xlfn.TEXTJOIN(" + ", TRUE, I302:M302)</f>
        <v/>
      </c>
    </row>
    <row r="303">
      <c r="A303" s="23" t="n"/>
      <c r="B303" s="1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7">
        <f>R303-Q303</f>
        <v/>
      </c>
      <c r="U303" s="7">
        <f>S303-Q303</f>
        <v/>
      </c>
      <c r="V303" s="1" t="n"/>
      <c r="W303" s="9">
        <f>S303-R303</f>
        <v/>
      </c>
      <c r="X303" s="9" t="n"/>
      <c r="AJ303" s="1" t="inlineStr">
        <is>
          <t>Urología - Resección transuretral de próstata</t>
        </is>
      </c>
      <c r="AM303">
        <f>_xlfn.TEXTJOIN(" + ", TRUE, I303:M303)</f>
        <v/>
      </c>
    </row>
    <row r="304">
      <c r="A304" s="23" t="n"/>
      <c r="B304" s="1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7">
        <f>R304-Q304</f>
        <v/>
      </c>
      <c r="U304" s="7">
        <f>S304-Q304</f>
        <v/>
      </c>
      <c r="V304" s="1" t="n"/>
      <c r="W304" s="9">
        <f>S304-R304</f>
        <v/>
      </c>
      <c r="X304" s="9" t="n"/>
      <c r="AJ304" s="1" t="inlineStr">
        <is>
          <t>Urología - Ureterolitotomía</t>
        </is>
      </c>
      <c r="AM304">
        <f>_xlfn.TEXTJOIN(" + ", TRUE, I304:M304)</f>
        <v/>
      </c>
    </row>
    <row r="305">
      <c r="A305" s="23" t="n"/>
      <c r="B305" s="1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7">
        <f>R305-Q305</f>
        <v/>
      </c>
      <c r="U305" s="7">
        <f>S305-Q305</f>
        <v/>
      </c>
      <c r="V305" s="1" t="n"/>
      <c r="W305" s="9">
        <f>S305-R305</f>
        <v/>
      </c>
      <c r="X305" s="9" t="n"/>
      <c r="AJ305" s="1" t="inlineStr">
        <is>
          <t>Urología - Ureteroscopia</t>
        </is>
      </c>
      <c r="AM305">
        <f>_xlfn.TEXTJOIN(" + ", TRUE, I305:M305)</f>
        <v/>
      </c>
    </row>
    <row r="306">
      <c r="A306" s="23" t="n"/>
      <c r="B306" s="1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7">
        <f>R306-Q306</f>
        <v/>
      </c>
      <c r="U306" s="7">
        <f>S306-Q306</f>
        <v/>
      </c>
      <c r="V306" s="1" t="n"/>
      <c r="W306" s="9">
        <f>S306-R306</f>
        <v/>
      </c>
      <c r="X306" s="9" t="n"/>
      <c r="AJ306" s="1" t="inlineStr">
        <is>
          <t>Urología - Varicocelectomía</t>
        </is>
      </c>
      <c r="AM306">
        <f>_xlfn.TEXTJOIN(" + ", TRUE, I306:M306)</f>
        <v/>
      </c>
    </row>
    <row r="307">
      <c r="A307" s="23" t="n"/>
      <c r="B307" s="1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7">
        <f>R307-Q307</f>
        <v/>
      </c>
      <c r="U307" s="7">
        <f>S307-Q307</f>
        <v/>
      </c>
      <c r="V307" s="1" t="n"/>
      <c r="W307" s="9">
        <f>S307-R307</f>
        <v/>
      </c>
      <c r="X307" s="9" t="n"/>
      <c r="AJ307" s="1" t="inlineStr">
        <is>
          <t>Urología - Vasectomía</t>
        </is>
      </c>
      <c r="AM307">
        <f>_xlfn.TEXTJOIN(" + ", TRUE, I307:M307)</f>
        <v/>
      </c>
    </row>
    <row r="308">
      <c r="A308" s="23" t="n"/>
      <c r="B308" s="1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7">
        <f>R308-Q308</f>
        <v/>
      </c>
      <c r="U308" s="7">
        <f>S308-Q308</f>
        <v/>
      </c>
      <c r="V308" s="1" t="n"/>
      <c r="W308" s="9">
        <f>S308-R308</f>
        <v/>
      </c>
      <c r="X308" s="9" t="n"/>
      <c r="AM308">
        <f>_xlfn.TEXTJOIN(" + ", TRUE, I308:M308)</f>
        <v/>
      </c>
    </row>
    <row r="309">
      <c r="A309" s="23" t="n"/>
      <c r="B309" s="1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7">
        <f>R309-Q309</f>
        <v/>
      </c>
      <c r="U309" s="7">
        <f>S309-Q309</f>
        <v/>
      </c>
      <c r="V309" s="1" t="n"/>
      <c r="W309" s="9">
        <f>S309-R309</f>
        <v/>
      </c>
      <c r="X309" s="9" t="n"/>
      <c r="AM309">
        <f>_xlfn.TEXTJOIN(" + ", TRUE, I309:M309)</f>
        <v/>
      </c>
    </row>
    <row r="310">
      <c r="A310" s="23" t="n"/>
      <c r="B310" s="1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7">
        <f>R310-Q310</f>
        <v/>
      </c>
      <c r="U310" s="7">
        <f>S310-Q310</f>
        <v/>
      </c>
      <c r="V310" s="1" t="n"/>
      <c r="W310" s="9">
        <f>S310-R310</f>
        <v/>
      </c>
      <c r="X310" s="9" t="n"/>
      <c r="AM310">
        <f>_xlfn.TEXTJOIN(" + ", TRUE, I310:M310)</f>
        <v/>
      </c>
    </row>
    <row r="311">
      <c r="A311" s="23" t="n"/>
      <c r="B311" s="1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7">
        <f>R311-Q311</f>
        <v/>
      </c>
      <c r="U311" s="7">
        <f>S311-Q311</f>
        <v/>
      </c>
      <c r="V311" s="1" t="n"/>
      <c r="W311" s="9">
        <f>S311-R311</f>
        <v/>
      </c>
      <c r="X311" s="9" t="n"/>
      <c r="AM311">
        <f>_xlfn.TEXTJOIN(" + ", TRUE, I311:M311)</f>
        <v/>
      </c>
    </row>
    <row r="312">
      <c r="A312" s="23" t="n"/>
      <c r="B312" s="1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7">
        <f>R312-Q312</f>
        <v/>
      </c>
      <c r="U312" s="7">
        <f>S312-Q312</f>
        <v/>
      </c>
      <c r="V312" s="1" t="n"/>
      <c r="W312" s="9">
        <f>S312-R312</f>
        <v/>
      </c>
      <c r="X312" s="9" t="n"/>
      <c r="AM312">
        <f>_xlfn.TEXTJOIN(" + ", TRUE, I312:M312)</f>
        <v/>
      </c>
    </row>
    <row r="313">
      <c r="A313" s="23" t="n"/>
      <c r="B313" s="1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7">
        <f>R313-Q313</f>
        <v/>
      </c>
      <c r="U313" s="7">
        <f>S313-Q313</f>
        <v/>
      </c>
      <c r="V313" s="1" t="n"/>
      <c r="W313" s="9">
        <f>S313-R313</f>
        <v/>
      </c>
      <c r="X313" s="9" t="n"/>
      <c r="AM313">
        <f>_xlfn.TEXTJOIN(" + ", TRUE, I313:M313)</f>
        <v/>
      </c>
    </row>
    <row r="314">
      <c r="A314" s="23" t="n"/>
      <c r="B314" s="1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7">
        <f>R314-Q314</f>
        <v/>
      </c>
      <c r="U314" s="7">
        <f>S314-Q314</f>
        <v/>
      </c>
      <c r="V314" s="1" t="n"/>
      <c r="W314" s="9">
        <f>S314-R314</f>
        <v/>
      </c>
      <c r="X314" s="9" t="n"/>
      <c r="AM314">
        <f>_xlfn.TEXTJOIN(" + ", TRUE, I314:M314)</f>
        <v/>
      </c>
    </row>
    <row r="315">
      <c r="A315" s="23" t="n"/>
      <c r="B315" s="1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7">
        <f>R315-Q315</f>
        <v/>
      </c>
      <c r="U315" s="7">
        <f>S315-Q315</f>
        <v/>
      </c>
      <c r="V315" s="1" t="n"/>
      <c r="W315" s="9">
        <f>S315-R315</f>
        <v/>
      </c>
      <c r="X315" s="9" t="n"/>
      <c r="AM315">
        <f>_xlfn.TEXTJOIN(" + ", TRUE, I315:M315)</f>
        <v/>
      </c>
    </row>
    <row r="316">
      <c r="A316" s="23" t="n"/>
      <c r="B316" s="1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7">
        <f>R316-Q316</f>
        <v/>
      </c>
      <c r="U316" s="7">
        <f>S316-Q316</f>
        <v/>
      </c>
      <c r="V316" s="1" t="n"/>
      <c r="W316" s="9">
        <f>S316-R316</f>
        <v/>
      </c>
      <c r="X316" s="9" t="n"/>
      <c r="AM316">
        <f>_xlfn.TEXTJOIN(" + ", TRUE, I316:M316)</f>
        <v/>
      </c>
    </row>
    <row r="317">
      <c r="A317" s="23" t="n"/>
      <c r="B317" s="1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7">
        <f>R317-Q317</f>
        <v/>
      </c>
      <c r="U317" s="7">
        <f>S317-Q317</f>
        <v/>
      </c>
      <c r="V317" s="1" t="n"/>
      <c r="W317" s="9">
        <f>S317-R317</f>
        <v/>
      </c>
      <c r="X317" s="9" t="n"/>
      <c r="AM317">
        <f>_xlfn.TEXTJOIN(" + ", TRUE, I317:M317)</f>
        <v/>
      </c>
    </row>
    <row r="318">
      <c r="A318" s="23" t="n"/>
      <c r="B318" s="1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7">
        <f>R318-Q318</f>
        <v/>
      </c>
      <c r="U318" s="7">
        <f>S318-Q318</f>
        <v/>
      </c>
      <c r="V318" s="1" t="n"/>
      <c r="W318" s="9">
        <f>S318-R318</f>
        <v/>
      </c>
      <c r="X318" s="9" t="n"/>
      <c r="AM318">
        <f>_xlfn.TEXTJOIN(" + ", TRUE, I318:M318)</f>
        <v/>
      </c>
    </row>
    <row r="319">
      <c r="A319" s="23" t="n"/>
      <c r="B319" s="1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7">
        <f>R319-Q319</f>
        <v/>
      </c>
      <c r="U319" s="7">
        <f>S319-Q319</f>
        <v/>
      </c>
      <c r="V319" s="1" t="n"/>
      <c r="W319" s="9">
        <f>S319-R319</f>
        <v/>
      </c>
      <c r="X319" s="9" t="n"/>
      <c r="AM319">
        <f>_xlfn.TEXTJOIN(" + ", TRUE, I319:M319)</f>
        <v/>
      </c>
    </row>
    <row r="320">
      <c r="A320" s="23" t="n"/>
      <c r="B320" s="1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7">
        <f>R320-Q320</f>
        <v/>
      </c>
      <c r="U320" s="7">
        <f>S320-Q320</f>
        <v/>
      </c>
      <c r="V320" s="1" t="n"/>
      <c r="W320" s="9">
        <f>S320-R320</f>
        <v/>
      </c>
      <c r="X320" s="9" t="n"/>
      <c r="AM320">
        <f>_xlfn.TEXTJOIN(" + ", TRUE, I320:M320)</f>
        <v/>
      </c>
    </row>
    <row r="321">
      <c r="A321" s="23" t="n"/>
      <c r="B321" s="1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7">
        <f>R321-Q321</f>
        <v/>
      </c>
      <c r="U321" s="7">
        <f>S321-Q321</f>
        <v/>
      </c>
      <c r="V321" s="1" t="n"/>
      <c r="W321" s="9">
        <f>S321-R321</f>
        <v/>
      </c>
      <c r="X321" s="9" t="n"/>
      <c r="AM321">
        <f>_xlfn.TEXTJOIN(" + ", TRUE, I321:M321)</f>
        <v/>
      </c>
    </row>
    <row r="322">
      <c r="A322" s="23" t="n"/>
      <c r="B322" s="1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7">
        <f>R322-Q322</f>
        <v/>
      </c>
      <c r="U322" s="7">
        <f>S322-Q322</f>
        <v/>
      </c>
      <c r="V322" s="1" t="n"/>
      <c r="W322" s="9">
        <f>S322-R322</f>
        <v/>
      </c>
      <c r="X322" s="9" t="n"/>
      <c r="AM322">
        <f>_xlfn.TEXTJOIN(" + ", TRUE, I322:M322)</f>
        <v/>
      </c>
    </row>
    <row r="323">
      <c r="A323" s="23" t="n"/>
      <c r="B323" s="1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7">
        <f>R323-Q323</f>
        <v/>
      </c>
      <c r="U323" s="7">
        <f>S323-Q323</f>
        <v/>
      </c>
      <c r="V323" s="1" t="n"/>
      <c r="W323" s="9">
        <f>S323-R323</f>
        <v/>
      </c>
      <c r="X323" s="9" t="n"/>
      <c r="AM323">
        <f>_xlfn.TEXTJOIN(" + ", TRUE, I323:M323)</f>
        <v/>
      </c>
    </row>
    <row r="324">
      <c r="A324" s="23" t="n"/>
      <c r="B324" s="1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7">
        <f>R324-Q324</f>
        <v/>
      </c>
      <c r="U324" s="7">
        <f>S324-Q324</f>
        <v/>
      </c>
      <c r="V324" s="1" t="n"/>
      <c r="W324" s="9">
        <f>S324-R324</f>
        <v/>
      </c>
      <c r="X324" s="9" t="n"/>
      <c r="AM324">
        <f>_xlfn.TEXTJOIN(" + ", TRUE, I324:M324)</f>
        <v/>
      </c>
    </row>
    <row r="325">
      <c r="A325" s="23" t="n"/>
      <c r="B325" s="1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7">
        <f>R325-Q325</f>
        <v/>
      </c>
      <c r="U325" s="7">
        <f>S325-Q325</f>
        <v/>
      </c>
      <c r="V325" s="1" t="n"/>
      <c r="W325" s="9">
        <f>S325-R325</f>
        <v/>
      </c>
      <c r="X325" s="9" t="n"/>
      <c r="AM325">
        <f>_xlfn.TEXTJOIN(" + ", TRUE, I325:M325)</f>
        <v/>
      </c>
    </row>
    <row r="326">
      <c r="A326" s="23" t="n"/>
      <c r="B326" s="1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7">
        <f>R326-Q326</f>
        <v/>
      </c>
      <c r="U326" s="7">
        <f>S326-Q326</f>
        <v/>
      </c>
      <c r="V326" s="1" t="n"/>
      <c r="W326" s="9">
        <f>S326-R326</f>
        <v/>
      </c>
      <c r="X326" s="9" t="n"/>
      <c r="AM326">
        <f>_xlfn.TEXTJOIN(" + ", TRUE, I326:M326)</f>
        <v/>
      </c>
    </row>
    <row r="327">
      <c r="A327" s="23" t="n"/>
      <c r="B327" s="1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7">
        <f>R327-Q327</f>
        <v/>
      </c>
      <c r="U327" s="7">
        <f>S327-Q327</f>
        <v/>
      </c>
      <c r="V327" s="1" t="n"/>
      <c r="W327" s="9">
        <f>S327-R327</f>
        <v/>
      </c>
      <c r="X327" s="9" t="n"/>
      <c r="AM327">
        <f>_xlfn.TEXTJOIN(" + ", TRUE, I327:M327)</f>
        <v/>
      </c>
    </row>
    <row r="328">
      <c r="A328" s="23" t="n"/>
      <c r="B328" s="1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7">
        <f>R328-Q328</f>
        <v/>
      </c>
      <c r="U328" s="7">
        <f>S328-Q328</f>
        <v/>
      </c>
      <c r="V328" s="1" t="n"/>
      <c r="W328" s="9">
        <f>S328-R328</f>
        <v/>
      </c>
      <c r="X328" s="9" t="n"/>
      <c r="AM328">
        <f>_xlfn.TEXTJOIN(" + ", TRUE, I328:M328)</f>
        <v/>
      </c>
    </row>
    <row r="329">
      <c r="A329" s="23" t="n"/>
      <c r="B329" s="1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7">
        <f>R329-Q329</f>
        <v/>
      </c>
      <c r="U329" s="7">
        <f>S329-Q329</f>
        <v/>
      </c>
      <c r="V329" s="1" t="n"/>
      <c r="W329" s="9">
        <f>S329-R329</f>
        <v/>
      </c>
      <c r="X329" s="9" t="n"/>
      <c r="AM329">
        <f>_xlfn.TEXTJOIN(" + ", TRUE, I329:M329)</f>
        <v/>
      </c>
    </row>
    <row r="330">
      <c r="A330" s="23" t="n"/>
      <c r="B330" s="1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7">
        <f>R330-Q330</f>
        <v/>
      </c>
      <c r="U330" s="7">
        <f>S330-Q330</f>
        <v/>
      </c>
      <c r="V330" s="1" t="n"/>
      <c r="W330" s="9">
        <f>S330-R330</f>
        <v/>
      </c>
      <c r="X330" s="9" t="n"/>
      <c r="AM330">
        <f>_xlfn.TEXTJOIN(" + ", TRUE, I330:M330)</f>
        <v/>
      </c>
    </row>
    <row r="331">
      <c r="A331" s="23" t="n"/>
      <c r="B331" s="1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7">
        <f>R331-Q331</f>
        <v/>
      </c>
      <c r="U331" s="7">
        <f>S331-Q331</f>
        <v/>
      </c>
      <c r="V331" s="1" t="n"/>
      <c r="W331" s="9">
        <f>S331-R331</f>
        <v/>
      </c>
      <c r="X331" s="9" t="n"/>
      <c r="AM331">
        <f>_xlfn.TEXTJOIN(" + ", TRUE, I331:M331)</f>
        <v/>
      </c>
    </row>
    <row r="332">
      <c r="A332" s="23" t="n"/>
      <c r="B332" s="1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7">
        <f>R332-Q332</f>
        <v/>
      </c>
      <c r="U332" s="7">
        <f>S332-Q332</f>
        <v/>
      </c>
      <c r="V332" s="1" t="n"/>
      <c r="W332" s="9">
        <f>S332-R332</f>
        <v/>
      </c>
      <c r="X332" s="9" t="n"/>
      <c r="AM332">
        <f>_xlfn.TEXTJOIN(" + ", TRUE, I332:M332)</f>
        <v/>
      </c>
    </row>
    <row r="333">
      <c r="A333" s="23" t="n"/>
      <c r="B333" s="1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7">
        <f>R333-Q333</f>
        <v/>
      </c>
      <c r="U333" s="7">
        <f>S333-Q333</f>
        <v/>
      </c>
      <c r="V333" s="1" t="n"/>
      <c r="W333" s="9">
        <f>S333-R333</f>
        <v/>
      </c>
      <c r="X333" s="9" t="n"/>
      <c r="AM333">
        <f>_xlfn.TEXTJOIN(" + ", TRUE, I333:M333)</f>
        <v/>
      </c>
    </row>
    <row r="334">
      <c r="A334" s="23" t="n"/>
      <c r="B334" s="1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7">
        <f>R334-Q334</f>
        <v/>
      </c>
      <c r="U334" s="7">
        <f>S334-Q334</f>
        <v/>
      </c>
      <c r="V334" s="1" t="n"/>
      <c r="W334" s="9">
        <f>S334-R334</f>
        <v/>
      </c>
      <c r="X334" s="9" t="n"/>
      <c r="AM334">
        <f>_xlfn.TEXTJOIN(" + ", TRUE, I334:M334)</f>
        <v/>
      </c>
    </row>
    <row r="335">
      <c r="A335" s="23" t="n"/>
      <c r="B335" s="1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7">
        <f>R335-Q335</f>
        <v/>
      </c>
      <c r="U335" s="7">
        <f>S335-Q335</f>
        <v/>
      </c>
      <c r="V335" s="1" t="n"/>
      <c r="W335" s="9">
        <f>S335-R335</f>
        <v/>
      </c>
      <c r="X335" s="9" t="n"/>
      <c r="AM335">
        <f>_xlfn.TEXTJOIN(" + ", TRUE, I335:M335)</f>
        <v/>
      </c>
    </row>
    <row r="336">
      <c r="A336" s="23" t="n"/>
      <c r="B336" s="1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7">
        <f>R336-Q336</f>
        <v/>
      </c>
      <c r="U336" s="7">
        <f>S336-Q336</f>
        <v/>
      </c>
      <c r="V336" s="1" t="n"/>
      <c r="W336" s="9">
        <f>S336-R336</f>
        <v/>
      </c>
      <c r="X336" s="9" t="n"/>
      <c r="AM336">
        <f>_xlfn.TEXTJOIN(" + ", TRUE, I336:M336)</f>
        <v/>
      </c>
    </row>
    <row r="337">
      <c r="A337" s="23" t="n"/>
      <c r="B337" s="1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7">
        <f>R337-Q337</f>
        <v/>
      </c>
      <c r="U337" s="7">
        <f>S337-Q337</f>
        <v/>
      </c>
      <c r="V337" s="1" t="n"/>
      <c r="W337" s="9">
        <f>S337-R337</f>
        <v/>
      </c>
      <c r="X337" s="9" t="n"/>
      <c r="AM337">
        <f>_xlfn.TEXTJOIN(" + ", TRUE, I337:M337)</f>
        <v/>
      </c>
    </row>
    <row r="338">
      <c r="A338" s="23" t="n"/>
      <c r="B338" s="1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7">
        <f>R338-Q338</f>
        <v/>
      </c>
      <c r="U338" s="7">
        <f>S338-Q338</f>
        <v/>
      </c>
      <c r="V338" s="1" t="n"/>
      <c r="W338" s="9">
        <f>S338-R338</f>
        <v/>
      </c>
      <c r="X338" s="9" t="n"/>
      <c r="AM338">
        <f>_xlfn.TEXTJOIN(" + ", TRUE, I338:M338)</f>
        <v/>
      </c>
    </row>
    <row r="339">
      <c r="A339" s="23" t="n"/>
      <c r="B339" s="1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7">
        <f>R339-Q339</f>
        <v/>
      </c>
      <c r="U339" s="7">
        <f>S339-Q339</f>
        <v/>
      </c>
      <c r="V339" s="1" t="n"/>
      <c r="W339" s="9">
        <f>S339-R339</f>
        <v/>
      </c>
      <c r="X339" s="9" t="n"/>
      <c r="AM339">
        <f>_xlfn.TEXTJOIN(" + ", TRUE, I339:M339)</f>
        <v/>
      </c>
    </row>
    <row r="340">
      <c r="A340" s="23" t="n"/>
      <c r="B340" s="1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7">
        <f>R340-Q340</f>
        <v/>
      </c>
      <c r="U340" s="7">
        <f>S340-Q340</f>
        <v/>
      </c>
      <c r="V340" s="1" t="n"/>
      <c r="W340" s="9">
        <f>S340-R340</f>
        <v/>
      </c>
      <c r="X340" s="9" t="n"/>
      <c r="AM340">
        <f>_xlfn.TEXTJOIN(" + ", TRUE, I340:M340)</f>
        <v/>
      </c>
    </row>
    <row r="341">
      <c r="A341" s="23" t="n"/>
      <c r="B341" s="1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7">
        <f>R341-Q341</f>
        <v/>
      </c>
      <c r="U341" s="7">
        <f>S341-Q341</f>
        <v/>
      </c>
      <c r="V341" s="1" t="n"/>
      <c r="W341" s="9">
        <f>S341-R341</f>
        <v/>
      </c>
      <c r="X341" s="9" t="n"/>
      <c r="AM341">
        <f>_xlfn.TEXTJOIN(" + ", TRUE, I341:M341)</f>
        <v/>
      </c>
    </row>
    <row r="342">
      <c r="A342" s="23" t="n"/>
      <c r="B342" s="1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7">
        <f>R342-Q342</f>
        <v/>
      </c>
      <c r="U342" s="7">
        <f>S342-Q342</f>
        <v/>
      </c>
      <c r="V342" s="1" t="n"/>
      <c r="W342" s="9">
        <f>S342-R342</f>
        <v/>
      </c>
      <c r="X342" s="9" t="n"/>
      <c r="AM342">
        <f>_xlfn.TEXTJOIN(" + ", TRUE, I342:M342)</f>
        <v/>
      </c>
    </row>
    <row r="343">
      <c r="A343" s="23" t="n"/>
      <c r="B343" s="1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7">
        <f>R343-Q343</f>
        <v/>
      </c>
      <c r="U343" s="7">
        <f>S343-Q343</f>
        <v/>
      </c>
      <c r="V343" s="1" t="n"/>
      <c r="W343" s="9">
        <f>S343-R343</f>
        <v/>
      </c>
      <c r="X343" s="9" t="n"/>
      <c r="AM343">
        <f>_xlfn.TEXTJOIN(" + ", TRUE, I343:M343)</f>
        <v/>
      </c>
    </row>
    <row r="344">
      <c r="A344" s="23" t="n"/>
      <c r="B344" s="1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7">
        <f>R344-Q344</f>
        <v/>
      </c>
      <c r="U344" s="7">
        <f>S344-Q344</f>
        <v/>
      </c>
      <c r="V344" s="1" t="n"/>
      <c r="W344" s="9">
        <f>S344-R344</f>
        <v/>
      </c>
      <c r="X344" s="9" t="n"/>
      <c r="AM344">
        <f>_xlfn.TEXTJOIN(" + ", TRUE, I344:M344)</f>
        <v/>
      </c>
    </row>
    <row r="345">
      <c r="A345" s="23" t="n"/>
      <c r="B345" s="1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7">
        <f>R345-Q345</f>
        <v/>
      </c>
      <c r="U345" s="7">
        <f>S345-Q345</f>
        <v/>
      </c>
      <c r="V345" s="1" t="n"/>
      <c r="W345" s="9">
        <f>S345-R345</f>
        <v/>
      </c>
      <c r="X345" s="9" t="n"/>
      <c r="AM345">
        <f>_xlfn.TEXTJOIN(" + ", TRUE, I345:M345)</f>
        <v/>
      </c>
    </row>
    <row r="346">
      <c r="A346" s="23" t="n"/>
      <c r="B346" s="1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7">
        <f>R346-Q346</f>
        <v/>
      </c>
      <c r="U346" s="7">
        <f>S346-Q346</f>
        <v/>
      </c>
      <c r="V346" s="1" t="n"/>
      <c r="W346" s="9">
        <f>S346-R346</f>
        <v/>
      </c>
      <c r="X346" s="9" t="n"/>
      <c r="AM346">
        <f>_xlfn.TEXTJOIN(" + ", TRUE, I346:M346)</f>
        <v/>
      </c>
    </row>
    <row r="347">
      <c r="A347" s="23" t="n"/>
      <c r="B347" s="1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7">
        <f>R347-Q347</f>
        <v/>
      </c>
      <c r="U347" s="7">
        <f>S347-Q347</f>
        <v/>
      </c>
      <c r="V347" s="1" t="n"/>
      <c r="W347" s="9">
        <f>S347-R347</f>
        <v/>
      </c>
      <c r="X347" s="9" t="n"/>
      <c r="AM347">
        <f>_xlfn.TEXTJOIN(" + ", TRUE, I347:M347)</f>
        <v/>
      </c>
    </row>
    <row r="348">
      <c r="A348" s="23" t="n"/>
      <c r="B348" s="1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7">
        <f>R348-Q348</f>
        <v/>
      </c>
      <c r="U348" s="7">
        <f>S348-Q348</f>
        <v/>
      </c>
      <c r="V348" s="1" t="n"/>
      <c r="W348" s="9">
        <f>S348-R348</f>
        <v/>
      </c>
      <c r="X348" s="9" t="n"/>
      <c r="AM348">
        <f>_xlfn.TEXTJOIN(" + ", TRUE, I348:M348)</f>
        <v/>
      </c>
    </row>
    <row r="349">
      <c r="A349" s="23" t="n"/>
      <c r="B349" s="1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7">
        <f>R349-Q349</f>
        <v/>
      </c>
      <c r="U349" s="7">
        <f>S349-Q349</f>
        <v/>
      </c>
      <c r="V349" s="1" t="n"/>
      <c r="W349" s="9">
        <f>S349-R349</f>
        <v/>
      </c>
      <c r="X349" s="9" t="n"/>
      <c r="AM349">
        <f>_xlfn.TEXTJOIN(" + ", TRUE, I349:M349)</f>
        <v/>
      </c>
    </row>
    <row r="350">
      <c r="A350" s="23" t="n"/>
      <c r="B350" s="1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7">
        <f>R350-Q350</f>
        <v/>
      </c>
      <c r="U350" s="7">
        <f>S350-Q350</f>
        <v/>
      </c>
      <c r="V350" s="1" t="n"/>
      <c r="W350" s="9">
        <f>S350-R350</f>
        <v/>
      </c>
      <c r="X350" s="9" t="n"/>
      <c r="AM350">
        <f>_xlfn.TEXTJOIN(" + ", TRUE, I350:M350)</f>
        <v/>
      </c>
    </row>
    <row r="351">
      <c r="A351" s="23" t="n"/>
      <c r="B351" s="1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7">
        <f>R351-Q351</f>
        <v/>
      </c>
      <c r="U351" s="7">
        <f>S351-Q351</f>
        <v/>
      </c>
      <c r="V351" s="1" t="n"/>
      <c r="W351" s="9">
        <f>S351-R351</f>
        <v/>
      </c>
      <c r="X351" s="9" t="n"/>
      <c r="AM351">
        <f>_xlfn.TEXTJOIN(" + ", TRUE, I351:M351)</f>
        <v/>
      </c>
    </row>
    <row r="352">
      <c r="A352" s="23" t="n"/>
      <c r="B352" s="1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7">
        <f>R352-Q352</f>
        <v/>
      </c>
      <c r="U352" s="7">
        <f>S352-Q352</f>
        <v/>
      </c>
      <c r="V352" s="1" t="n"/>
      <c r="W352" s="9">
        <f>S352-R352</f>
        <v/>
      </c>
      <c r="X352" s="9" t="n"/>
      <c r="AM352">
        <f>_xlfn.TEXTJOIN(" + ", TRUE, I352:M352)</f>
        <v/>
      </c>
    </row>
    <row r="353">
      <c r="A353" s="23" t="n"/>
      <c r="B353" s="1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7">
        <f>R353-Q353</f>
        <v/>
      </c>
      <c r="U353" s="7">
        <f>S353-Q353</f>
        <v/>
      </c>
      <c r="V353" s="1" t="n"/>
      <c r="W353" s="9">
        <f>S353-R353</f>
        <v/>
      </c>
      <c r="X353" s="9" t="n"/>
      <c r="AM353">
        <f>_xlfn.TEXTJOIN(" + ", TRUE, I353:M353)</f>
        <v/>
      </c>
    </row>
    <row r="354">
      <c r="A354" s="23" t="n"/>
      <c r="B354" s="1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7">
        <f>R354-Q354</f>
        <v/>
      </c>
      <c r="U354" s="7">
        <f>S354-Q354</f>
        <v/>
      </c>
      <c r="V354" s="1" t="n"/>
      <c r="W354" s="9">
        <f>S354-R354</f>
        <v/>
      </c>
      <c r="X354" s="9" t="n"/>
      <c r="AM354">
        <f>_xlfn.TEXTJOIN(" + ", TRUE, I354:M354)</f>
        <v/>
      </c>
    </row>
    <row r="355">
      <c r="A355" s="23" t="n"/>
      <c r="B355" s="1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7">
        <f>R355-Q355</f>
        <v/>
      </c>
      <c r="U355" s="7">
        <f>S355-Q355</f>
        <v/>
      </c>
      <c r="V355" s="1" t="n"/>
      <c r="W355" s="9">
        <f>S355-R355</f>
        <v/>
      </c>
      <c r="X355" s="9" t="n"/>
      <c r="AM355">
        <f>_xlfn.TEXTJOIN(" + ", TRUE, I355:M355)</f>
        <v/>
      </c>
    </row>
    <row r="356">
      <c r="A356" s="23" t="n"/>
      <c r="B356" s="1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7">
        <f>R356-Q356</f>
        <v/>
      </c>
      <c r="U356" s="7">
        <f>S356-Q356</f>
        <v/>
      </c>
      <c r="V356" s="1" t="n"/>
      <c r="W356" s="9">
        <f>S356-R356</f>
        <v/>
      </c>
      <c r="X356" s="9" t="n"/>
      <c r="AM356">
        <f>_xlfn.TEXTJOIN(" + ", TRUE, I356:M356)</f>
        <v/>
      </c>
    </row>
    <row r="357">
      <c r="A357" s="23" t="n"/>
      <c r="B357" s="1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7">
        <f>R357-Q357</f>
        <v/>
      </c>
      <c r="U357" s="7">
        <f>S357-Q357</f>
        <v/>
      </c>
      <c r="V357" s="1" t="n"/>
      <c r="W357" s="9">
        <f>S357-R357</f>
        <v/>
      </c>
      <c r="X357" s="9" t="n"/>
      <c r="AM357">
        <f>_xlfn.TEXTJOIN(" + ", TRUE, I357:M357)</f>
        <v/>
      </c>
    </row>
    <row r="358">
      <c r="A358" s="23" t="n"/>
      <c r="B358" s="1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7">
        <f>R358-Q358</f>
        <v/>
      </c>
      <c r="U358" s="7">
        <f>S358-Q358</f>
        <v/>
      </c>
      <c r="V358" s="1" t="n"/>
      <c r="W358" s="9">
        <f>S358-R358</f>
        <v/>
      </c>
      <c r="X358" s="9" t="n"/>
      <c r="AM358">
        <f>_xlfn.TEXTJOIN(" + ", TRUE, I358:M358)</f>
        <v/>
      </c>
    </row>
    <row r="359">
      <c r="A359" s="23" t="n"/>
      <c r="B359" s="1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7">
        <f>R359-Q359</f>
        <v/>
      </c>
      <c r="U359" s="7">
        <f>S359-Q359</f>
        <v/>
      </c>
      <c r="V359" s="1" t="n"/>
      <c r="W359" s="9">
        <f>S359-R359</f>
        <v/>
      </c>
      <c r="X359" s="9" t="n"/>
      <c r="AM359">
        <f>_xlfn.TEXTJOIN(" + ", TRUE, I359:M359)</f>
        <v/>
      </c>
    </row>
    <row r="360">
      <c r="A360" s="23" t="n"/>
      <c r="B360" s="1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7">
        <f>R360-Q360</f>
        <v/>
      </c>
      <c r="U360" s="7">
        <f>S360-Q360</f>
        <v/>
      </c>
      <c r="V360" s="1" t="n"/>
      <c r="W360" s="9">
        <f>S360-R360</f>
        <v/>
      </c>
      <c r="X360" s="9" t="n"/>
      <c r="AM360">
        <f>_xlfn.TEXTJOIN(" + ", TRUE, I360:M360)</f>
        <v/>
      </c>
    </row>
    <row r="361">
      <c r="A361" s="23" t="n"/>
      <c r="B361" s="1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7">
        <f>R361-Q361</f>
        <v/>
      </c>
      <c r="U361" s="7">
        <f>S361-Q361</f>
        <v/>
      </c>
      <c r="V361" s="1" t="n"/>
      <c r="W361" s="9">
        <f>S361-R361</f>
        <v/>
      </c>
      <c r="X361" s="9" t="n"/>
      <c r="AM361">
        <f>_xlfn.TEXTJOIN(" + ", TRUE, I361:M361)</f>
        <v/>
      </c>
    </row>
    <row r="362">
      <c r="A362" s="23" t="n"/>
      <c r="B362" s="1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7">
        <f>R362-Q362</f>
        <v/>
      </c>
      <c r="U362" s="7">
        <f>S362-Q362</f>
        <v/>
      </c>
      <c r="V362" s="1" t="n"/>
      <c r="W362" s="9">
        <f>S362-R362</f>
        <v/>
      </c>
      <c r="X362" s="9" t="n"/>
      <c r="AM362">
        <f>_xlfn.TEXTJOIN(" + ", TRUE, I362:M362)</f>
        <v/>
      </c>
    </row>
    <row r="363">
      <c r="A363" s="23" t="n"/>
      <c r="B363" s="1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7">
        <f>R363-Q363</f>
        <v/>
      </c>
      <c r="U363" s="7">
        <f>S363-Q363</f>
        <v/>
      </c>
      <c r="V363" s="1" t="n"/>
      <c r="W363" s="9">
        <f>S363-R363</f>
        <v/>
      </c>
      <c r="X363" s="9" t="n"/>
      <c r="AM363">
        <f>_xlfn.TEXTJOIN(" + ", TRUE, I363:M363)</f>
        <v/>
      </c>
    </row>
    <row r="364">
      <c r="A364" s="23" t="n"/>
      <c r="B364" s="1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7">
        <f>R364-Q364</f>
        <v/>
      </c>
      <c r="U364" s="7">
        <f>S364-Q364</f>
        <v/>
      </c>
      <c r="V364" s="1" t="n"/>
      <c r="W364" s="9">
        <f>S364-R364</f>
        <v/>
      </c>
      <c r="X364" s="9" t="n"/>
      <c r="AM364">
        <f>_xlfn.TEXTJOIN(" + ", TRUE, I364:M364)</f>
        <v/>
      </c>
    </row>
    <row r="365">
      <c r="A365" s="23" t="n"/>
      <c r="B365" s="1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7">
        <f>R365-Q365</f>
        <v/>
      </c>
      <c r="U365" s="7">
        <f>S365-Q365</f>
        <v/>
      </c>
      <c r="V365" s="1" t="n"/>
      <c r="W365" s="9">
        <f>S365-R365</f>
        <v/>
      </c>
      <c r="X365" s="9" t="n"/>
      <c r="AM365">
        <f>_xlfn.TEXTJOIN(" + ", TRUE, I365:M365)</f>
        <v/>
      </c>
    </row>
    <row r="366">
      <c r="A366" s="23" t="n"/>
      <c r="B366" s="1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7">
        <f>R366-Q366</f>
        <v/>
      </c>
      <c r="U366" s="7">
        <f>S366-Q366</f>
        <v/>
      </c>
      <c r="V366" s="1" t="n"/>
      <c r="W366" s="9">
        <f>S366-R366</f>
        <v/>
      </c>
      <c r="X366" s="9" t="n"/>
      <c r="AM366">
        <f>_xlfn.TEXTJOIN(" + ", TRUE, I366:M366)</f>
        <v/>
      </c>
    </row>
    <row r="367">
      <c r="A367" s="23" t="n"/>
      <c r="B367" s="1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7">
        <f>R367-Q367</f>
        <v/>
      </c>
      <c r="U367" s="7">
        <f>S367-Q367</f>
        <v/>
      </c>
      <c r="V367" s="1" t="n"/>
      <c r="W367" s="9">
        <f>S367-R367</f>
        <v/>
      </c>
      <c r="X367" s="9" t="n"/>
      <c r="AM367">
        <f>_xlfn.TEXTJOIN(" + ", TRUE, I367:M367)</f>
        <v/>
      </c>
    </row>
    <row r="368">
      <c r="A368" s="23" t="n"/>
      <c r="B368" s="1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7">
        <f>R368-Q368</f>
        <v/>
      </c>
      <c r="U368" s="7">
        <f>S368-Q368</f>
        <v/>
      </c>
      <c r="V368" s="1" t="n"/>
      <c r="W368" s="9">
        <f>S368-R368</f>
        <v/>
      </c>
      <c r="X368" s="9" t="n"/>
      <c r="AM368">
        <f>_xlfn.TEXTJOIN(" + ", TRUE, I368:M368)</f>
        <v/>
      </c>
    </row>
    <row r="369">
      <c r="A369" s="23" t="n"/>
      <c r="B369" s="1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7">
        <f>R369-Q369</f>
        <v/>
      </c>
      <c r="U369" s="7">
        <f>S369-Q369</f>
        <v/>
      </c>
      <c r="V369" s="1" t="n"/>
      <c r="W369" s="9">
        <f>S369-R369</f>
        <v/>
      </c>
      <c r="X369" s="9" t="n"/>
      <c r="AM369">
        <f>_xlfn.TEXTJOIN(" + ", TRUE, I369:M369)</f>
        <v/>
      </c>
    </row>
    <row r="370">
      <c r="A370" s="23" t="n"/>
      <c r="B370" s="1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7">
        <f>R370-Q370</f>
        <v/>
      </c>
      <c r="U370" s="7">
        <f>S370-Q370</f>
        <v/>
      </c>
      <c r="V370" s="1" t="n"/>
      <c r="W370" s="9">
        <f>S370-R370</f>
        <v/>
      </c>
      <c r="X370" s="9" t="n"/>
      <c r="AM370">
        <f>_xlfn.TEXTJOIN(" + ", TRUE, I370:M370)</f>
        <v/>
      </c>
    </row>
    <row r="371">
      <c r="A371" s="23" t="n"/>
      <c r="B371" s="1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7">
        <f>R371-Q371</f>
        <v/>
      </c>
      <c r="U371" s="7">
        <f>S371-Q371</f>
        <v/>
      </c>
      <c r="V371" s="1" t="n"/>
      <c r="W371" s="9">
        <f>S371-R371</f>
        <v/>
      </c>
      <c r="X371" s="9" t="n"/>
      <c r="AM371">
        <f>_xlfn.TEXTJOIN(" + ", TRUE, I371:M371)</f>
        <v/>
      </c>
    </row>
    <row r="372">
      <c r="A372" s="23" t="n"/>
      <c r="B372" s="1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7">
        <f>R372-Q372</f>
        <v/>
      </c>
      <c r="U372" s="7">
        <f>S372-Q372</f>
        <v/>
      </c>
      <c r="V372" s="1" t="n"/>
      <c r="W372" s="9">
        <f>S372-R372</f>
        <v/>
      </c>
      <c r="X372" s="9" t="n"/>
      <c r="AM372">
        <f>_xlfn.TEXTJOIN(" + ", TRUE, I372:M372)</f>
        <v/>
      </c>
    </row>
    <row r="373">
      <c r="A373" s="23" t="n"/>
      <c r="B373" s="1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7">
        <f>R373-Q373</f>
        <v/>
      </c>
      <c r="U373" s="7">
        <f>S373-Q373</f>
        <v/>
      </c>
      <c r="V373" s="1" t="n"/>
      <c r="W373" s="9">
        <f>S373-R373</f>
        <v/>
      </c>
      <c r="X373" s="9" t="n"/>
      <c r="AM373">
        <f>_xlfn.TEXTJOIN(" + ", TRUE, I373:M373)</f>
        <v/>
      </c>
    </row>
    <row r="374">
      <c r="A374" s="23" t="n"/>
      <c r="B374" s="1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7">
        <f>R374-Q374</f>
        <v/>
      </c>
      <c r="U374" s="7">
        <f>S374-Q374</f>
        <v/>
      </c>
      <c r="V374" s="1" t="n"/>
      <c r="W374" s="9">
        <f>S374-R374</f>
        <v/>
      </c>
      <c r="X374" s="9" t="n"/>
      <c r="AM374">
        <f>_xlfn.TEXTJOIN(" + ", TRUE, I374:M374)</f>
        <v/>
      </c>
    </row>
    <row r="375">
      <c r="A375" s="23" t="n"/>
      <c r="B375" s="1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7">
        <f>R375-Q375</f>
        <v/>
      </c>
      <c r="U375" s="7">
        <f>S375-Q375</f>
        <v/>
      </c>
      <c r="V375" s="1" t="n"/>
      <c r="W375" s="9">
        <f>S375-R375</f>
        <v/>
      </c>
      <c r="X375" s="9" t="n"/>
      <c r="AM375">
        <f>_xlfn.TEXTJOIN(" + ", TRUE, I375:M375)</f>
        <v/>
      </c>
    </row>
    <row r="376">
      <c r="A376" s="23" t="n"/>
      <c r="B376" s="1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7">
        <f>R376-Q376</f>
        <v/>
      </c>
      <c r="U376" s="7">
        <f>S376-Q376</f>
        <v/>
      </c>
      <c r="V376" s="1" t="n"/>
      <c r="W376" s="9">
        <f>S376-R376</f>
        <v/>
      </c>
      <c r="X376" s="9" t="n"/>
      <c r="AM376">
        <f>_xlfn.TEXTJOIN(" + ", TRUE, I376:M376)</f>
        <v/>
      </c>
    </row>
    <row r="377">
      <c r="A377" s="23" t="n"/>
      <c r="B377" s="1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7">
        <f>R377-Q377</f>
        <v/>
      </c>
      <c r="U377" s="7">
        <f>S377-Q377</f>
        <v/>
      </c>
      <c r="V377" s="1" t="n"/>
      <c r="W377" s="9">
        <f>S377-R377</f>
        <v/>
      </c>
      <c r="X377" s="9" t="n"/>
      <c r="AM377">
        <f>_xlfn.TEXTJOIN(" + ", TRUE, I377:M377)</f>
        <v/>
      </c>
    </row>
    <row r="378">
      <c r="A378" s="23" t="n"/>
      <c r="B378" s="1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7">
        <f>R378-Q378</f>
        <v/>
      </c>
      <c r="U378" s="7">
        <f>S378-Q378</f>
        <v/>
      </c>
      <c r="V378" s="1" t="n"/>
      <c r="W378" s="9">
        <f>S378-R378</f>
        <v/>
      </c>
      <c r="X378" s="9" t="n"/>
      <c r="AM378">
        <f>_xlfn.TEXTJOIN(" + ", TRUE, I378:M378)</f>
        <v/>
      </c>
    </row>
    <row r="379">
      <c r="A379" s="23" t="n"/>
      <c r="B379" s="1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7">
        <f>R379-Q379</f>
        <v/>
      </c>
      <c r="U379" s="7">
        <f>S379-Q379</f>
        <v/>
      </c>
      <c r="V379" s="1" t="n"/>
      <c r="W379" s="9">
        <f>S379-R379</f>
        <v/>
      </c>
      <c r="X379" s="9" t="n"/>
      <c r="AM379">
        <f>_xlfn.TEXTJOIN(" + ", TRUE, I379:M379)</f>
        <v/>
      </c>
    </row>
    <row r="380">
      <c r="A380" s="23" t="n"/>
      <c r="B380" s="1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7">
        <f>R380-Q380</f>
        <v/>
      </c>
      <c r="U380" s="7">
        <f>S380-Q380</f>
        <v/>
      </c>
      <c r="V380" s="1" t="n"/>
      <c r="W380" s="9">
        <f>S380-R380</f>
        <v/>
      </c>
      <c r="X380" s="9" t="n"/>
      <c r="AM380">
        <f>_xlfn.TEXTJOIN(" + ", TRUE, I380:M380)</f>
        <v/>
      </c>
    </row>
    <row r="381">
      <c r="A381" s="23" t="n"/>
      <c r="B381" s="1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7">
        <f>R381-Q381</f>
        <v/>
      </c>
      <c r="U381" s="7">
        <f>S381-Q381</f>
        <v/>
      </c>
      <c r="V381" s="1" t="n"/>
      <c r="W381" s="9">
        <f>S381-R381</f>
        <v/>
      </c>
      <c r="X381" s="9" t="n"/>
      <c r="AM381">
        <f>_xlfn.TEXTJOIN(" + ", TRUE, I381:M381)</f>
        <v/>
      </c>
    </row>
    <row r="382">
      <c r="A382" s="23" t="n"/>
      <c r="B382" s="1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7">
        <f>R382-Q382</f>
        <v/>
      </c>
      <c r="U382" s="7">
        <f>S382-Q382</f>
        <v/>
      </c>
      <c r="V382" s="1" t="n"/>
      <c r="W382" s="9">
        <f>S382-R382</f>
        <v/>
      </c>
      <c r="X382" s="9" t="n"/>
      <c r="AM382">
        <f>_xlfn.TEXTJOIN(" + ", TRUE, I382:M382)</f>
        <v/>
      </c>
    </row>
    <row r="383">
      <c r="A383" s="23" t="n"/>
      <c r="B383" s="1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7">
        <f>R383-Q383</f>
        <v/>
      </c>
      <c r="U383" s="7">
        <f>S383-Q383</f>
        <v/>
      </c>
      <c r="V383" s="1" t="n"/>
      <c r="W383" s="9">
        <f>S383-R383</f>
        <v/>
      </c>
      <c r="X383" s="9" t="n"/>
      <c r="AM383">
        <f>_xlfn.TEXTJOIN(" + ", TRUE, I383:M383)</f>
        <v/>
      </c>
    </row>
    <row r="384">
      <c r="A384" s="23" t="n"/>
      <c r="B384" s="1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7">
        <f>R384-Q384</f>
        <v/>
      </c>
      <c r="U384" s="7">
        <f>S384-Q384</f>
        <v/>
      </c>
      <c r="V384" s="1" t="n"/>
      <c r="W384" s="9">
        <f>S384-R384</f>
        <v/>
      </c>
      <c r="X384" s="9" t="n"/>
      <c r="AM384">
        <f>_xlfn.TEXTJOIN(" + ", TRUE, I384:M384)</f>
        <v/>
      </c>
    </row>
    <row r="385">
      <c r="A385" s="23" t="n"/>
      <c r="B385" s="1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7">
        <f>R385-Q385</f>
        <v/>
      </c>
      <c r="U385" s="7">
        <f>S385-Q385</f>
        <v/>
      </c>
      <c r="V385" s="1" t="n"/>
      <c r="W385" s="9">
        <f>S385-R385</f>
        <v/>
      </c>
      <c r="X385" s="9" t="n"/>
      <c r="AM385">
        <f>_xlfn.TEXTJOIN(" + ", TRUE, I385:M385)</f>
        <v/>
      </c>
    </row>
    <row r="386">
      <c r="A386" s="23" t="n"/>
      <c r="B386" s="1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7">
        <f>R386-Q386</f>
        <v/>
      </c>
      <c r="U386" s="7">
        <f>S386-Q386</f>
        <v/>
      </c>
      <c r="V386" s="1" t="n"/>
      <c r="W386" s="9">
        <f>S386-R386</f>
        <v/>
      </c>
      <c r="X386" s="9" t="n"/>
      <c r="AM386">
        <f>_xlfn.TEXTJOIN(" + ", TRUE, I386:M386)</f>
        <v/>
      </c>
    </row>
    <row r="387">
      <c r="A387" s="23" t="n"/>
      <c r="B387" s="1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7">
        <f>R387-Q387</f>
        <v/>
      </c>
      <c r="U387" s="7">
        <f>S387-Q387</f>
        <v/>
      </c>
      <c r="V387" s="1" t="n"/>
      <c r="W387" s="9">
        <f>S387-R387</f>
        <v/>
      </c>
      <c r="X387" s="9" t="n"/>
      <c r="AM387">
        <f>_xlfn.TEXTJOIN(" + ", TRUE, I387:M387)</f>
        <v/>
      </c>
    </row>
    <row r="388">
      <c r="A388" s="23" t="n"/>
      <c r="B388" s="1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7">
        <f>R388-Q388</f>
        <v/>
      </c>
      <c r="U388" s="7">
        <f>S388-Q388</f>
        <v/>
      </c>
      <c r="V388" s="1" t="n"/>
      <c r="W388" s="9">
        <f>S388-R388</f>
        <v/>
      </c>
      <c r="X388" s="9" t="n"/>
      <c r="AM388">
        <f>_xlfn.TEXTJOIN(" + ", TRUE, I388:M388)</f>
        <v/>
      </c>
    </row>
    <row r="389">
      <c r="A389" s="23" t="n"/>
      <c r="B389" s="1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7">
        <f>R389-Q389</f>
        <v/>
      </c>
      <c r="U389" s="7">
        <f>S389-Q389</f>
        <v/>
      </c>
      <c r="V389" s="1" t="n"/>
      <c r="W389" s="9">
        <f>S389-R389</f>
        <v/>
      </c>
      <c r="X389" s="9" t="n"/>
      <c r="AM389">
        <f>_xlfn.TEXTJOIN(" + ", TRUE, I389:M389)</f>
        <v/>
      </c>
    </row>
    <row r="390">
      <c r="A390" s="23" t="n"/>
      <c r="B390" s="1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7">
        <f>R390-Q390</f>
        <v/>
      </c>
      <c r="U390" s="7">
        <f>S390-Q390</f>
        <v/>
      </c>
      <c r="V390" s="1" t="n"/>
      <c r="W390" s="9">
        <f>S390-R390</f>
        <v/>
      </c>
      <c r="X390" s="9" t="n"/>
      <c r="AM390">
        <f>_xlfn.TEXTJOIN(" + ", TRUE, I390:M390)</f>
        <v/>
      </c>
    </row>
    <row r="391">
      <c r="A391" s="23" t="n"/>
      <c r="B391" s="1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7">
        <f>R391-Q391</f>
        <v/>
      </c>
      <c r="U391" s="7">
        <f>S391-Q391</f>
        <v/>
      </c>
      <c r="V391" s="1" t="n"/>
      <c r="W391" s="9">
        <f>S391-R391</f>
        <v/>
      </c>
      <c r="X391" s="9" t="n"/>
      <c r="AM391">
        <f>_xlfn.TEXTJOIN(" + ", TRUE, I391:M391)</f>
        <v/>
      </c>
    </row>
    <row r="392">
      <c r="A392" s="23" t="n"/>
      <c r="B392" s="1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7">
        <f>R392-Q392</f>
        <v/>
      </c>
      <c r="U392" s="7">
        <f>S392-Q392</f>
        <v/>
      </c>
      <c r="V392" s="1" t="n"/>
      <c r="W392" s="9">
        <f>S392-R392</f>
        <v/>
      </c>
      <c r="X392" s="9" t="n"/>
      <c r="AM392">
        <f>_xlfn.TEXTJOIN(" + ", TRUE, I392:M392)</f>
        <v/>
      </c>
    </row>
    <row r="393">
      <c r="A393" s="23" t="n"/>
      <c r="B393" s="1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7">
        <f>R393-Q393</f>
        <v/>
      </c>
      <c r="U393" s="7">
        <f>S393-Q393</f>
        <v/>
      </c>
      <c r="V393" s="1" t="n"/>
      <c r="W393" s="9">
        <f>S393-R393</f>
        <v/>
      </c>
      <c r="X393" s="9" t="n"/>
      <c r="AM393">
        <f>_xlfn.TEXTJOIN(" + ", TRUE, I393:M393)</f>
        <v/>
      </c>
    </row>
    <row r="394">
      <c r="A394" s="23" t="n"/>
      <c r="B394" s="1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7">
        <f>R394-Q394</f>
        <v/>
      </c>
      <c r="U394" s="7">
        <f>S394-Q394</f>
        <v/>
      </c>
      <c r="V394" s="1" t="n"/>
      <c r="W394" s="9">
        <f>S394-R394</f>
        <v/>
      </c>
      <c r="X394" s="9" t="n"/>
      <c r="AM394">
        <f>_xlfn.TEXTJOIN(" + ", TRUE, I394:M394)</f>
        <v/>
      </c>
    </row>
    <row r="395">
      <c r="A395" s="23" t="n"/>
      <c r="B395" s="1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7">
        <f>R395-Q395</f>
        <v/>
      </c>
      <c r="U395" s="7">
        <f>S395-Q395</f>
        <v/>
      </c>
      <c r="V395" s="1" t="n"/>
      <c r="W395" s="9">
        <f>S395-R395</f>
        <v/>
      </c>
      <c r="X395" s="9" t="n"/>
      <c r="AM395">
        <f>_xlfn.TEXTJOIN(" + ", TRUE, I395:M395)</f>
        <v/>
      </c>
    </row>
    <row r="396">
      <c r="A396" s="23" t="n"/>
      <c r="B396" s="1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7">
        <f>R396-Q396</f>
        <v/>
      </c>
      <c r="U396" s="7">
        <f>S396-Q396</f>
        <v/>
      </c>
      <c r="V396" s="1" t="n"/>
      <c r="W396" s="9">
        <f>S396-R396</f>
        <v/>
      </c>
      <c r="X396" s="9" t="n"/>
      <c r="AM396">
        <f>_xlfn.TEXTJOIN(" + ", TRUE, I396:M396)</f>
        <v/>
      </c>
    </row>
    <row r="397">
      <c r="A397" s="23" t="n"/>
      <c r="B397" s="1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7">
        <f>R397-Q397</f>
        <v/>
      </c>
      <c r="U397" s="7">
        <f>S397-Q397</f>
        <v/>
      </c>
      <c r="V397" s="1" t="n"/>
      <c r="W397" s="9">
        <f>S397-R397</f>
        <v/>
      </c>
      <c r="X397" s="9" t="n"/>
      <c r="AM397">
        <f>_xlfn.TEXTJOIN(" + ", TRUE, I397:M397)</f>
        <v/>
      </c>
    </row>
    <row r="398">
      <c r="A398" s="23" t="n"/>
      <c r="B398" s="1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7">
        <f>R398-Q398</f>
        <v/>
      </c>
      <c r="U398" s="7">
        <f>S398-Q398</f>
        <v/>
      </c>
      <c r="V398" s="1" t="n"/>
      <c r="W398" s="9">
        <f>S398-R398</f>
        <v/>
      </c>
      <c r="X398" s="9" t="n"/>
      <c r="AM398">
        <f>_xlfn.TEXTJOIN(" + ", TRUE, I398:M398)</f>
        <v/>
      </c>
    </row>
    <row r="399">
      <c r="A399" s="23" t="n"/>
      <c r="B399" s="1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7">
        <f>R399-Q399</f>
        <v/>
      </c>
      <c r="U399" s="7">
        <f>S399-Q399</f>
        <v/>
      </c>
      <c r="V399" s="1" t="n"/>
      <c r="W399" s="9">
        <f>S399-R399</f>
        <v/>
      </c>
      <c r="X399" s="9" t="n"/>
      <c r="AM399">
        <f>_xlfn.TEXTJOIN(" + ", TRUE, I399:M399)</f>
        <v/>
      </c>
    </row>
    <row r="400">
      <c r="A400" s="23" t="n"/>
      <c r="B400" s="1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7">
        <f>R400-Q400</f>
        <v/>
      </c>
      <c r="U400" s="7">
        <f>S400-Q400</f>
        <v/>
      </c>
      <c r="V400" s="1" t="n"/>
      <c r="W400" s="9">
        <f>S400-R400</f>
        <v/>
      </c>
      <c r="X400" s="9" t="n"/>
      <c r="AM400">
        <f>_xlfn.TEXTJOIN(" + ", TRUE, I400:M400)</f>
        <v/>
      </c>
    </row>
    <row r="401">
      <c r="A401" s="23" t="n"/>
      <c r="B401" s="1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7">
        <f>R401-Q401</f>
        <v/>
      </c>
      <c r="U401" s="7">
        <f>S401-Q401</f>
        <v/>
      </c>
      <c r="V401" s="1" t="n"/>
      <c r="W401" s="9">
        <f>S401-R401</f>
        <v/>
      </c>
      <c r="X401" s="9" t="n"/>
      <c r="AM401">
        <f>_xlfn.TEXTJOIN(" + ", TRUE, I401:M401)</f>
        <v/>
      </c>
    </row>
    <row r="402">
      <c r="A402" s="23" t="n"/>
      <c r="B402" s="1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7">
        <f>R402-Q402</f>
        <v/>
      </c>
      <c r="U402" s="7">
        <f>S402-Q402</f>
        <v/>
      </c>
      <c r="V402" s="1" t="n"/>
      <c r="W402" s="9">
        <f>S402-R402</f>
        <v/>
      </c>
      <c r="X402" s="9" t="n"/>
      <c r="AM402">
        <f>_xlfn.TEXTJOIN(" + ", TRUE, I402:M402)</f>
        <v/>
      </c>
    </row>
    <row r="403">
      <c r="A403" s="23" t="n"/>
      <c r="B403" s="1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7">
        <f>R403-Q403</f>
        <v/>
      </c>
      <c r="U403" s="7">
        <f>S403-Q403</f>
        <v/>
      </c>
      <c r="V403" s="1" t="n"/>
      <c r="W403" s="9">
        <f>S403-R403</f>
        <v/>
      </c>
      <c r="X403" s="9" t="n"/>
      <c r="AM403">
        <f>_xlfn.TEXTJOIN(" + ", TRUE, I403:M403)</f>
        <v/>
      </c>
    </row>
    <row r="404">
      <c r="A404" s="23" t="n"/>
      <c r="B404" s="1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7">
        <f>R404-Q404</f>
        <v/>
      </c>
      <c r="U404" s="7">
        <f>S404-Q404</f>
        <v/>
      </c>
      <c r="V404" s="1" t="n"/>
      <c r="W404" s="9">
        <f>S404-R404</f>
        <v/>
      </c>
      <c r="X404" s="9" t="n"/>
      <c r="AM404">
        <f>_xlfn.TEXTJOIN(" + ", TRUE, I404:M404)</f>
        <v/>
      </c>
    </row>
    <row r="405">
      <c r="A405" s="23" t="n"/>
      <c r="B405" s="1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7">
        <f>R405-Q405</f>
        <v/>
      </c>
      <c r="U405" s="7">
        <f>S405-Q405</f>
        <v/>
      </c>
      <c r="V405" s="1" t="n"/>
      <c r="W405" s="9">
        <f>S405-R405</f>
        <v/>
      </c>
      <c r="X405" s="9" t="n"/>
      <c r="AM405">
        <f>_xlfn.TEXTJOIN(" + ", TRUE, I405:M405)</f>
        <v/>
      </c>
    </row>
    <row r="406">
      <c r="A406" s="23" t="n"/>
      <c r="B406" s="1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7">
        <f>R406-Q406</f>
        <v/>
      </c>
      <c r="U406" s="7">
        <f>S406-Q406</f>
        <v/>
      </c>
      <c r="V406" s="1" t="n"/>
      <c r="W406" s="9">
        <f>S406-R406</f>
        <v/>
      </c>
      <c r="X406" s="9" t="n"/>
      <c r="AM406">
        <f>_xlfn.TEXTJOIN(" + ", TRUE, I406:M406)</f>
        <v/>
      </c>
    </row>
    <row r="407">
      <c r="A407" s="23" t="n"/>
      <c r="B407" s="1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7">
        <f>R407-Q407</f>
        <v/>
      </c>
      <c r="U407" s="7">
        <f>S407-Q407</f>
        <v/>
      </c>
      <c r="V407" s="1" t="n"/>
      <c r="W407" s="9">
        <f>S407-R407</f>
        <v/>
      </c>
      <c r="X407" s="9" t="n"/>
      <c r="AM407">
        <f>_xlfn.TEXTJOIN(" + ", TRUE, I407:M407)</f>
        <v/>
      </c>
    </row>
    <row r="408">
      <c r="A408" s="23" t="n"/>
      <c r="B408" s="1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7">
        <f>R408-Q408</f>
        <v/>
      </c>
      <c r="U408" s="7">
        <f>S408-Q408</f>
        <v/>
      </c>
      <c r="V408" s="1" t="n"/>
      <c r="W408" s="9">
        <f>S408-R408</f>
        <v/>
      </c>
      <c r="X408" s="9" t="n"/>
      <c r="AM408">
        <f>_xlfn.TEXTJOIN(" + ", TRUE, I408:M408)</f>
        <v/>
      </c>
    </row>
    <row r="409">
      <c r="A409" s="23" t="n"/>
      <c r="B409" s="1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7">
        <f>R409-Q409</f>
        <v/>
      </c>
      <c r="U409" s="7">
        <f>S409-Q409</f>
        <v/>
      </c>
      <c r="V409" s="1" t="n"/>
      <c r="W409" s="9">
        <f>S409-R409</f>
        <v/>
      </c>
      <c r="X409" s="9" t="n"/>
      <c r="AM409">
        <f>_xlfn.TEXTJOIN(" + ", TRUE, I409:M409)</f>
        <v/>
      </c>
    </row>
    <row r="410">
      <c r="A410" s="23" t="n"/>
      <c r="B410" s="1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7">
        <f>R410-Q410</f>
        <v/>
      </c>
      <c r="U410" s="7">
        <f>S410-Q410</f>
        <v/>
      </c>
      <c r="V410" s="1" t="n"/>
      <c r="W410" s="9">
        <f>S410-R410</f>
        <v/>
      </c>
      <c r="X410" s="9" t="n"/>
      <c r="AM410">
        <f>_xlfn.TEXTJOIN(" + ", TRUE, I410:M410)</f>
        <v/>
      </c>
    </row>
    <row r="411">
      <c r="A411" s="23" t="n"/>
      <c r="B411" s="1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7">
        <f>R411-Q411</f>
        <v/>
      </c>
      <c r="U411" s="7">
        <f>S411-Q411</f>
        <v/>
      </c>
      <c r="V411" s="1" t="n"/>
      <c r="W411" s="9">
        <f>S411-R411</f>
        <v/>
      </c>
      <c r="X411" s="9" t="n"/>
      <c r="AM411">
        <f>_xlfn.TEXTJOIN(" + ", TRUE, I411:M411)</f>
        <v/>
      </c>
    </row>
    <row r="412">
      <c r="A412" s="23" t="n"/>
      <c r="B412" s="1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7">
        <f>R412-Q412</f>
        <v/>
      </c>
      <c r="U412" s="7">
        <f>S412-Q412</f>
        <v/>
      </c>
      <c r="V412" s="1" t="n"/>
      <c r="W412" s="9">
        <f>S412-R412</f>
        <v/>
      </c>
      <c r="X412" s="9" t="n"/>
      <c r="AM412">
        <f>_xlfn.TEXTJOIN(" + ", TRUE, I412:M412)</f>
        <v/>
      </c>
    </row>
    <row r="413">
      <c r="A413" s="23" t="n"/>
      <c r="B413" s="1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7">
        <f>R413-Q413</f>
        <v/>
      </c>
      <c r="U413" s="7">
        <f>S413-Q413</f>
        <v/>
      </c>
      <c r="V413" s="1" t="n"/>
      <c r="W413" s="9">
        <f>S413-R413</f>
        <v/>
      </c>
      <c r="X413" s="9" t="n"/>
      <c r="AM413">
        <f>_xlfn.TEXTJOIN(" + ", TRUE, I413:M413)</f>
        <v/>
      </c>
    </row>
    <row r="414">
      <c r="A414" s="23" t="n"/>
      <c r="B414" s="1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7">
        <f>R414-Q414</f>
        <v/>
      </c>
      <c r="U414" s="7">
        <f>S414-Q414</f>
        <v/>
      </c>
      <c r="V414" s="1" t="n"/>
      <c r="W414" s="9">
        <f>S414-R414</f>
        <v/>
      </c>
      <c r="X414" s="9" t="n"/>
      <c r="AM414">
        <f>_xlfn.TEXTJOIN(" + ", TRUE, I414:M414)</f>
        <v/>
      </c>
    </row>
    <row r="415">
      <c r="A415" s="23" t="n"/>
      <c r="B415" s="1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7">
        <f>R415-Q415</f>
        <v/>
      </c>
      <c r="U415" s="7">
        <f>S415-Q415</f>
        <v/>
      </c>
      <c r="V415" s="1" t="n"/>
      <c r="W415" s="9">
        <f>S415-R415</f>
        <v/>
      </c>
      <c r="X415" s="9" t="n"/>
      <c r="AM415">
        <f>_xlfn.TEXTJOIN(" + ", TRUE, I415:M415)</f>
        <v/>
      </c>
    </row>
    <row r="416">
      <c r="A416" s="23" t="n"/>
      <c r="B416" s="1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7">
        <f>R416-Q416</f>
        <v/>
      </c>
      <c r="U416" s="7">
        <f>S416-Q416</f>
        <v/>
      </c>
      <c r="V416" s="1" t="n"/>
      <c r="W416" s="9">
        <f>S416-R416</f>
        <v/>
      </c>
      <c r="X416" s="9" t="n"/>
      <c r="AM416">
        <f>_xlfn.TEXTJOIN(" + ", TRUE, I416:M416)</f>
        <v/>
      </c>
    </row>
    <row r="417">
      <c r="A417" s="23" t="n"/>
      <c r="B417" s="1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7">
        <f>R417-Q417</f>
        <v/>
      </c>
      <c r="U417" s="7">
        <f>S417-Q417</f>
        <v/>
      </c>
      <c r="V417" s="1" t="n"/>
      <c r="W417" s="9">
        <f>S417-R417</f>
        <v/>
      </c>
      <c r="X417" s="9" t="n"/>
      <c r="AM417">
        <f>_xlfn.TEXTJOIN(" + ", TRUE, I417:M417)</f>
        <v/>
      </c>
    </row>
    <row r="418">
      <c r="A418" s="23" t="n"/>
      <c r="B418" s="1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7">
        <f>R418-Q418</f>
        <v/>
      </c>
      <c r="U418" s="7">
        <f>S418-Q418</f>
        <v/>
      </c>
      <c r="V418" s="1" t="n"/>
      <c r="W418" s="9">
        <f>S418-R418</f>
        <v/>
      </c>
      <c r="X418" s="9" t="n"/>
      <c r="AM418">
        <f>_xlfn.TEXTJOIN(" + ", TRUE, I418:M418)</f>
        <v/>
      </c>
    </row>
    <row r="419">
      <c r="A419" s="23" t="n"/>
      <c r="B419" s="1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7">
        <f>R419-Q419</f>
        <v/>
      </c>
      <c r="U419" s="7">
        <f>S419-Q419</f>
        <v/>
      </c>
      <c r="V419" s="1" t="n"/>
      <c r="W419" s="9">
        <f>S419-R419</f>
        <v/>
      </c>
      <c r="X419" s="9" t="n"/>
      <c r="AM419">
        <f>_xlfn.TEXTJOIN(" + ", TRUE, I419:M419)</f>
        <v/>
      </c>
    </row>
    <row r="420">
      <c r="A420" s="23" t="n"/>
      <c r="B420" s="1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7">
        <f>R420-Q420</f>
        <v/>
      </c>
      <c r="U420" s="7">
        <f>S420-Q420</f>
        <v/>
      </c>
      <c r="V420" s="1" t="n"/>
      <c r="W420" s="9">
        <f>S420-R420</f>
        <v/>
      </c>
      <c r="X420" s="9" t="n"/>
      <c r="AM420">
        <f>_xlfn.TEXTJOIN(" + ", TRUE, I420:M420)</f>
        <v/>
      </c>
    </row>
    <row r="421">
      <c r="A421" s="23" t="n"/>
      <c r="B421" s="1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7">
        <f>R421-Q421</f>
        <v/>
      </c>
      <c r="U421" s="7">
        <f>S421-Q421</f>
        <v/>
      </c>
      <c r="V421" s="1" t="n"/>
      <c r="W421" s="9">
        <f>S421-R421</f>
        <v/>
      </c>
      <c r="X421" s="9" t="n"/>
      <c r="AM421">
        <f>_xlfn.TEXTJOIN(" + ", TRUE, I421:M421)</f>
        <v/>
      </c>
    </row>
    <row r="422">
      <c r="A422" s="23" t="n"/>
      <c r="B422" s="1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7">
        <f>R422-Q422</f>
        <v/>
      </c>
      <c r="U422" s="7">
        <f>S422-Q422</f>
        <v/>
      </c>
      <c r="V422" s="1" t="n"/>
      <c r="W422" s="9">
        <f>S422-R422</f>
        <v/>
      </c>
      <c r="X422" s="9" t="n"/>
      <c r="AM422">
        <f>_xlfn.TEXTJOIN(" + ", TRUE, I422:M422)</f>
        <v/>
      </c>
    </row>
    <row r="423">
      <c r="A423" s="23" t="n"/>
      <c r="B423" s="1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7">
        <f>R423-Q423</f>
        <v/>
      </c>
      <c r="U423" s="7">
        <f>S423-Q423</f>
        <v/>
      </c>
      <c r="V423" s="1" t="n"/>
      <c r="W423" s="9">
        <f>S423-R423</f>
        <v/>
      </c>
      <c r="X423" s="9" t="n"/>
      <c r="AM423">
        <f>_xlfn.TEXTJOIN(" + ", TRUE, I423:M423)</f>
        <v/>
      </c>
    </row>
    <row r="424">
      <c r="A424" s="23" t="n"/>
      <c r="B424" s="1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7">
        <f>R424-Q424</f>
        <v/>
      </c>
      <c r="U424" s="7">
        <f>S424-Q424</f>
        <v/>
      </c>
      <c r="V424" s="1" t="n"/>
      <c r="W424" s="9">
        <f>S424-R424</f>
        <v/>
      </c>
      <c r="X424" s="9" t="n"/>
      <c r="AM424">
        <f>_xlfn.TEXTJOIN(" + ", TRUE, I424:M424)</f>
        <v/>
      </c>
    </row>
    <row r="425">
      <c r="A425" s="23" t="n"/>
      <c r="B425" s="1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7">
        <f>R425-Q425</f>
        <v/>
      </c>
      <c r="U425" s="7">
        <f>S425-Q425</f>
        <v/>
      </c>
      <c r="V425" s="1" t="n"/>
      <c r="W425" s="9">
        <f>S425-R425</f>
        <v/>
      </c>
      <c r="X425" s="9" t="n"/>
      <c r="AM425">
        <f>_xlfn.TEXTJOIN(" + ", TRUE, I425:M425)</f>
        <v/>
      </c>
    </row>
    <row r="426">
      <c r="A426" s="23" t="n"/>
      <c r="B426" s="1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7">
        <f>R426-Q426</f>
        <v/>
      </c>
      <c r="U426" s="7">
        <f>S426-Q426</f>
        <v/>
      </c>
      <c r="V426" s="1" t="n"/>
      <c r="W426" s="9">
        <f>S426-R426</f>
        <v/>
      </c>
      <c r="X426" s="9" t="n"/>
      <c r="AM426">
        <f>_xlfn.TEXTJOIN(" + ", TRUE, I426:M426)</f>
        <v/>
      </c>
    </row>
    <row r="427">
      <c r="A427" s="23" t="n"/>
      <c r="B427" s="1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7">
        <f>R427-Q427</f>
        <v/>
      </c>
      <c r="U427" s="7">
        <f>S427-Q427</f>
        <v/>
      </c>
      <c r="V427" s="1" t="n"/>
      <c r="W427" s="9">
        <f>S427-R427</f>
        <v/>
      </c>
      <c r="X427" s="9" t="n"/>
      <c r="AM427">
        <f>_xlfn.TEXTJOIN(" + ", TRUE, I427:M427)</f>
        <v/>
      </c>
    </row>
    <row r="428">
      <c r="A428" s="23" t="n"/>
      <c r="B428" s="1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7">
        <f>R428-Q428</f>
        <v/>
      </c>
      <c r="U428" s="7">
        <f>S428-Q428</f>
        <v/>
      </c>
      <c r="V428" s="1" t="n"/>
      <c r="W428" s="9">
        <f>S428-R428</f>
        <v/>
      </c>
      <c r="X428" s="9" t="n"/>
      <c r="AM428">
        <f>_xlfn.TEXTJOIN(" + ", TRUE, I428:M428)</f>
        <v/>
      </c>
    </row>
    <row r="429">
      <c r="A429" s="23" t="n"/>
      <c r="B429" s="1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7">
        <f>R429-Q429</f>
        <v/>
      </c>
      <c r="U429" s="7">
        <f>S429-Q429</f>
        <v/>
      </c>
      <c r="V429" s="1" t="n"/>
      <c r="W429" s="9">
        <f>S429-R429</f>
        <v/>
      </c>
      <c r="X429" s="9" t="n"/>
      <c r="AM429">
        <f>_xlfn.TEXTJOIN(" + ", TRUE, I429:M429)</f>
        <v/>
      </c>
    </row>
    <row r="430">
      <c r="A430" s="23" t="n"/>
      <c r="B430" s="1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7">
        <f>R430-Q430</f>
        <v/>
      </c>
      <c r="U430" s="7">
        <f>S430-Q430</f>
        <v/>
      </c>
      <c r="V430" s="1" t="n"/>
      <c r="W430" s="9">
        <f>S430-R430</f>
        <v/>
      </c>
      <c r="X430" s="9" t="n"/>
      <c r="AM430">
        <f>_xlfn.TEXTJOIN(" + ", TRUE, I430:M430)</f>
        <v/>
      </c>
    </row>
    <row r="431">
      <c r="A431" s="23" t="n"/>
      <c r="B431" s="1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7">
        <f>R431-Q431</f>
        <v/>
      </c>
      <c r="U431" s="7">
        <f>S431-Q431</f>
        <v/>
      </c>
      <c r="V431" s="1" t="n"/>
      <c r="W431" s="9">
        <f>S431-R431</f>
        <v/>
      </c>
      <c r="X431" s="9" t="n"/>
      <c r="AM431">
        <f>_xlfn.TEXTJOIN(" + ", TRUE, I431:M431)</f>
        <v/>
      </c>
    </row>
    <row r="432">
      <c r="A432" s="23" t="n"/>
      <c r="B432" s="1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7">
        <f>R432-Q432</f>
        <v/>
      </c>
      <c r="U432" s="7">
        <f>S432-Q432</f>
        <v/>
      </c>
      <c r="V432" s="1" t="n"/>
      <c r="W432" s="9">
        <f>S432-R432</f>
        <v/>
      </c>
      <c r="X432" s="9" t="n"/>
      <c r="AM432">
        <f>_xlfn.TEXTJOIN(" + ", TRUE, I432:M432)</f>
        <v/>
      </c>
    </row>
    <row r="433">
      <c r="A433" s="23" t="n"/>
      <c r="B433" s="1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7">
        <f>R433-Q433</f>
        <v/>
      </c>
      <c r="U433" s="7">
        <f>S433-Q433</f>
        <v/>
      </c>
      <c r="V433" s="1" t="n"/>
      <c r="W433" s="9">
        <f>S433-R433</f>
        <v/>
      </c>
      <c r="X433" s="9" t="n"/>
      <c r="AM433">
        <f>_xlfn.TEXTJOIN(" + ", TRUE, I433:M433)</f>
        <v/>
      </c>
    </row>
    <row r="434">
      <c r="A434" s="23" t="n"/>
      <c r="B434" s="1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7">
        <f>R434-Q434</f>
        <v/>
      </c>
      <c r="U434" s="7">
        <f>S434-Q434</f>
        <v/>
      </c>
      <c r="V434" s="1" t="n"/>
      <c r="W434" s="9">
        <f>S434-R434</f>
        <v/>
      </c>
      <c r="X434" s="9" t="n"/>
      <c r="AM434">
        <f>_xlfn.TEXTJOIN(" + ", TRUE, I434:M434)</f>
        <v/>
      </c>
    </row>
    <row r="435">
      <c r="A435" s="23" t="n"/>
      <c r="B435" s="1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7">
        <f>R435-Q435</f>
        <v/>
      </c>
      <c r="U435" s="7">
        <f>S435-Q435</f>
        <v/>
      </c>
      <c r="V435" s="1" t="n"/>
      <c r="W435" s="9">
        <f>S435-R435</f>
        <v/>
      </c>
      <c r="X435" s="9" t="n"/>
      <c r="AM435">
        <f>_xlfn.TEXTJOIN(" + ", TRUE, I435:M435)</f>
        <v/>
      </c>
    </row>
    <row r="436">
      <c r="A436" s="23" t="n"/>
      <c r="B436" s="1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7">
        <f>R436-Q436</f>
        <v/>
      </c>
      <c r="U436" s="7">
        <f>S436-Q436</f>
        <v/>
      </c>
      <c r="V436" s="1" t="n"/>
      <c r="W436" s="9">
        <f>S436-R436</f>
        <v/>
      </c>
      <c r="X436" s="9" t="n"/>
      <c r="AM436">
        <f>_xlfn.TEXTJOIN(" + ", TRUE, I436:M436)</f>
        <v/>
      </c>
    </row>
    <row r="437">
      <c r="A437" s="23" t="n"/>
      <c r="B437" s="1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7">
        <f>R437-Q437</f>
        <v/>
      </c>
      <c r="U437" s="7">
        <f>S437-Q437</f>
        <v/>
      </c>
      <c r="V437" s="1" t="n"/>
      <c r="W437" s="9">
        <f>S437-R437</f>
        <v/>
      </c>
      <c r="X437" s="9" t="n"/>
      <c r="AM437">
        <f>_xlfn.TEXTJOIN(" + ", TRUE, I437:M437)</f>
        <v/>
      </c>
    </row>
    <row r="438">
      <c r="A438" s="23" t="n"/>
      <c r="B438" s="1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7">
        <f>R438-Q438</f>
        <v/>
      </c>
      <c r="U438" s="7">
        <f>S438-Q438</f>
        <v/>
      </c>
      <c r="V438" s="1" t="n"/>
      <c r="W438" s="9">
        <f>S438-R438</f>
        <v/>
      </c>
      <c r="X438" s="9" t="n"/>
      <c r="AM438">
        <f>_xlfn.TEXTJOIN(" + ", TRUE, I438:M438)</f>
        <v/>
      </c>
    </row>
    <row r="439">
      <c r="A439" s="23" t="n"/>
      <c r="B439" s="1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7">
        <f>R439-Q439</f>
        <v/>
      </c>
      <c r="U439" s="7">
        <f>S439-Q439</f>
        <v/>
      </c>
      <c r="V439" s="1" t="n"/>
      <c r="W439" s="9">
        <f>S439-R439</f>
        <v/>
      </c>
      <c r="X439" s="9" t="n"/>
      <c r="AM439">
        <f>_xlfn.TEXTJOIN(" + ", TRUE, I439:M439)</f>
        <v/>
      </c>
    </row>
    <row r="440">
      <c r="A440" s="23" t="n"/>
      <c r="B440" s="1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7">
        <f>R440-Q440</f>
        <v/>
      </c>
      <c r="U440" s="7">
        <f>S440-Q440</f>
        <v/>
      </c>
      <c r="V440" s="1" t="n"/>
      <c r="W440" s="9">
        <f>S440-R440</f>
        <v/>
      </c>
      <c r="X440" s="9" t="n"/>
      <c r="AM440">
        <f>_xlfn.TEXTJOIN(" + ", TRUE, I440:M440)</f>
        <v/>
      </c>
    </row>
    <row r="441">
      <c r="A441" s="23" t="n"/>
      <c r="B441" s="1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7">
        <f>R441-Q441</f>
        <v/>
      </c>
      <c r="U441" s="7">
        <f>S441-Q441</f>
        <v/>
      </c>
      <c r="V441" s="1" t="n"/>
      <c r="W441" s="9">
        <f>S441-R441</f>
        <v/>
      </c>
      <c r="X441" s="9" t="n"/>
      <c r="AM441">
        <f>_xlfn.TEXTJOIN(" + ", TRUE, I441:M441)</f>
        <v/>
      </c>
    </row>
    <row r="442">
      <c r="A442" s="23" t="n"/>
      <c r="B442" s="1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7">
        <f>R442-Q442</f>
        <v/>
      </c>
      <c r="U442" s="7">
        <f>S442-Q442</f>
        <v/>
      </c>
      <c r="V442" s="1" t="n"/>
      <c r="W442" s="9">
        <f>S442-R442</f>
        <v/>
      </c>
      <c r="X442" s="9" t="n"/>
      <c r="AM442">
        <f>_xlfn.TEXTJOIN(" + ", TRUE, I442:M442)</f>
        <v/>
      </c>
    </row>
    <row r="443">
      <c r="A443" s="23" t="n"/>
      <c r="B443" s="1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7">
        <f>R443-Q443</f>
        <v/>
      </c>
      <c r="U443" s="7">
        <f>S443-Q443</f>
        <v/>
      </c>
      <c r="V443" s="1" t="n"/>
      <c r="W443" s="9">
        <f>S443-R443</f>
        <v/>
      </c>
      <c r="X443" s="9" t="n"/>
      <c r="AM443">
        <f>_xlfn.TEXTJOIN(" + ", TRUE, I443:M443)</f>
        <v/>
      </c>
    </row>
    <row r="444">
      <c r="A444" s="23" t="n"/>
      <c r="B444" s="1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7">
        <f>R444-Q444</f>
        <v/>
      </c>
      <c r="U444" s="7">
        <f>S444-Q444</f>
        <v/>
      </c>
      <c r="V444" s="1" t="n"/>
      <c r="W444" s="9">
        <f>S444-R444</f>
        <v/>
      </c>
      <c r="X444" s="9" t="n"/>
      <c r="AM444">
        <f>_xlfn.TEXTJOIN(" + ", TRUE, I444:M444)</f>
        <v/>
      </c>
    </row>
    <row r="445">
      <c r="A445" s="23" t="n"/>
      <c r="B445" s="1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7">
        <f>R445-Q445</f>
        <v/>
      </c>
      <c r="U445" s="7">
        <f>S445-Q445</f>
        <v/>
      </c>
      <c r="V445" s="1" t="n"/>
      <c r="W445" s="9">
        <f>S445-R445</f>
        <v/>
      </c>
      <c r="X445" s="9" t="n"/>
      <c r="AM445">
        <f>_xlfn.TEXTJOIN(" + ", TRUE, I445:M445)</f>
        <v/>
      </c>
    </row>
    <row r="446">
      <c r="A446" s="23" t="n"/>
      <c r="B446" s="1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7">
        <f>R446-Q446</f>
        <v/>
      </c>
      <c r="U446" s="7">
        <f>S446-Q446</f>
        <v/>
      </c>
      <c r="V446" s="1" t="n"/>
      <c r="W446" s="9">
        <f>S446-R446</f>
        <v/>
      </c>
      <c r="X446" s="9" t="n"/>
      <c r="AM446">
        <f>_xlfn.TEXTJOIN(" + ", TRUE, I446:M446)</f>
        <v/>
      </c>
    </row>
    <row r="447">
      <c r="A447" s="23" t="n"/>
      <c r="B447" s="1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7">
        <f>R447-Q447</f>
        <v/>
      </c>
      <c r="U447" s="7">
        <f>S447-Q447</f>
        <v/>
      </c>
      <c r="V447" s="1" t="n"/>
      <c r="W447" s="9">
        <f>S447-R447</f>
        <v/>
      </c>
      <c r="X447" s="9" t="n"/>
      <c r="AM447">
        <f>_xlfn.TEXTJOIN(" + ", TRUE, I447:M447)</f>
        <v/>
      </c>
    </row>
    <row r="448">
      <c r="A448" s="23" t="n"/>
      <c r="B448" s="1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7">
        <f>R448-Q448</f>
        <v/>
      </c>
      <c r="U448" s="7">
        <f>S448-Q448</f>
        <v/>
      </c>
      <c r="V448" s="1" t="n"/>
      <c r="W448" s="9">
        <f>S448-R448</f>
        <v/>
      </c>
      <c r="X448" s="9" t="n"/>
      <c r="AM448">
        <f>_xlfn.TEXTJOIN(" + ", TRUE, I448:M448)</f>
        <v/>
      </c>
    </row>
    <row r="449">
      <c r="A449" s="23" t="n"/>
      <c r="B449" s="1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7">
        <f>R449-Q449</f>
        <v/>
      </c>
      <c r="U449" s="7">
        <f>S449-Q449</f>
        <v/>
      </c>
      <c r="V449" s="1" t="n"/>
      <c r="W449" s="9">
        <f>S449-R449</f>
        <v/>
      </c>
      <c r="X449" s="9" t="n"/>
      <c r="AM449">
        <f>_xlfn.TEXTJOIN(" + ", TRUE, I449:M449)</f>
        <v/>
      </c>
    </row>
    <row r="450">
      <c r="A450" s="23" t="n"/>
      <c r="B450" s="1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7">
        <f>R450-Q450</f>
        <v/>
      </c>
      <c r="U450" s="7">
        <f>S450-Q450</f>
        <v/>
      </c>
      <c r="V450" s="1" t="n"/>
      <c r="W450" s="9">
        <f>S450-R450</f>
        <v/>
      </c>
      <c r="X450" s="9" t="n"/>
      <c r="AM450">
        <f>_xlfn.TEXTJOIN(" + ", TRUE, I450:M450)</f>
        <v/>
      </c>
    </row>
    <row r="451">
      <c r="A451" s="23" t="n"/>
      <c r="B451" s="1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7">
        <f>R451-Q451</f>
        <v/>
      </c>
      <c r="U451" s="7">
        <f>S451-Q451</f>
        <v/>
      </c>
      <c r="V451" s="1" t="n"/>
      <c r="W451" s="9">
        <f>S451-R451</f>
        <v/>
      </c>
      <c r="X451" s="9" t="n"/>
      <c r="AM451">
        <f>_xlfn.TEXTJOIN(" + ", TRUE, I451:M451)</f>
        <v/>
      </c>
    </row>
    <row r="452">
      <c r="A452" s="23" t="n"/>
      <c r="B452" s="1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7">
        <f>R452-Q452</f>
        <v/>
      </c>
      <c r="U452" s="7">
        <f>S452-Q452</f>
        <v/>
      </c>
      <c r="V452" s="1" t="n"/>
      <c r="W452" s="9">
        <f>S452-R452</f>
        <v/>
      </c>
      <c r="X452" s="9" t="n"/>
      <c r="AM452">
        <f>_xlfn.TEXTJOIN(" + ", TRUE, I452:M452)</f>
        <v/>
      </c>
    </row>
    <row r="453">
      <c r="A453" s="23" t="n"/>
      <c r="B453" s="1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7">
        <f>R453-Q453</f>
        <v/>
      </c>
      <c r="U453" s="7">
        <f>S453-Q453</f>
        <v/>
      </c>
      <c r="V453" s="1" t="n"/>
      <c r="W453" s="9">
        <f>S453-R453</f>
        <v/>
      </c>
      <c r="X453" s="9" t="n"/>
      <c r="AM453">
        <f>_xlfn.TEXTJOIN(" + ", TRUE, I453:M453)</f>
        <v/>
      </c>
    </row>
    <row r="454">
      <c r="A454" s="23" t="n"/>
      <c r="B454" s="1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7">
        <f>R454-Q454</f>
        <v/>
      </c>
      <c r="U454" s="7">
        <f>S454-Q454</f>
        <v/>
      </c>
      <c r="V454" s="1" t="n"/>
      <c r="W454" s="9">
        <f>S454-R454</f>
        <v/>
      </c>
      <c r="X454" s="9" t="n"/>
      <c r="AM454">
        <f>_xlfn.TEXTJOIN(" + ", TRUE, I454:M454)</f>
        <v/>
      </c>
    </row>
    <row r="455">
      <c r="A455" s="23" t="n"/>
      <c r="B455" s="1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7">
        <f>R455-Q455</f>
        <v/>
      </c>
      <c r="U455" s="7">
        <f>S455-Q455</f>
        <v/>
      </c>
      <c r="V455" s="1" t="n"/>
      <c r="W455" s="9">
        <f>S455-R455</f>
        <v/>
      </c>
      <c r="X455" s="9" t="n"/>
      <c r="AM455">
        <f>_xlfn.TEXTJOIN(" + ", TRUE, I455:M455)</f>
        <v/>
      </c>
    </row>
    <row r="456">
      <c r="A456" s="23" t="n"/>
      <c r="B456" s="1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7">
        <f>R456-Q456</f>
        <v/>
      </c>
      <c r="U456" s="7">
        <f>S456-Q456</f>
        <v/>
      </c>
      <c r="V456" s="1" t="n"/>
      <c r="W456" s="9">
        <f>S456-R456</f>
        <v/>
      </c>
      <c r="X456" s="9" t="n"/>
      <c r="AM456">
        <f>_xlfn.TEXTJOIN(" + ", TRUE, I456:M456)</f>
        <v/>
      </c>
    </row>
    <row r="457">
      <c r="A457" s="23" t="n"/>
      <c r="B457" s="1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7">
        <f>R457-Q457</f>
        <v/>
      </c>
      <c r="U457" s="7">
        <f>S457-Q457</f>
        <v/>
      </c>
      <c r="V457" s="1" t="n"/>
      <c r="W457" s="9">
        <f>S457-R457</f>
        <v/>
      </c>
      <c r="X457" s="9" t="n"/>
      <c r="AM457">
        <f>_xlfn.TEXTJOIN(" + ", TRUE, I457:M457)</f>
        <v/>
      </c>
    </row>
    <row r="458">
      <c r="A458" s="23" t="n"/>
      <c r="B458" s="1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7">
        <f>R458-Q458</f>
        <v/>
      </c>
      <c r="U458" s="7">
        <f>S458-Q458</f>
        <v/>
      </c>
      <c r="V458" s="1" t="n"/>
      <c r="W458" s="9">
        <f>S458-R458</f>
        <v/>
      </c>
      <c r="X458" s="9" t="n"/>
      <c r="AM458">
        <f>_xlfn.TEXTJOIN(" + ", TRUE, I458:M458)</f>
        <v/>
      </c>
    </row>
    <row r="459">
      <c r="A459" s="23" t="n"/>
      <c r="B459" s="1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7">
        <f>R459-Q459</f>
        <v/>
      </c>
      <c r="U459" s="7">
        <f>S459-Q459</f>
        <v/>
      </c>
      <c r="V459" s="1" t="n"/>
      <c r="W459" s="9">
        <f>S459-R459</f>
        <v/>
      </c>
      <c r="X459" s="9" t="n"/>
      <c r="AM459">
        <f>_xlfn.TEXTJOIN(" + ", TRUE, I459:M459)</f>
        <v/>
      </c>
    </row>
    <row r="460">
      <c r="A460" s="23" t="n"/>
      <c r="B460" s="1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7">
        <f>R460-Q460</f>
        <v/>
      </c>
      <c r="U460" s="7">
        <f>S460-Q460</f>
        <v/>
      </c>
      <c r="V460" s="1" t="n"/>
      <c r="W460" s="9">
        <f>S460-R460</f>
        <v/>
      </c>
      <c r="X460" s="9" t="n"/>
      <c r="AM460">
        <f>_xlfn.TEXTJOIN(" + ", TRUE, I460:M460)</f>
        <v/>
      </c>
    </row>
    <row r="461">
      <c r="A461" s="23" t="n"/>
      <c r="B461" s="1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7">
        <f>R461-Q461</f>
        <v/>
      </c>
      <c r="U461" s="7">
        <f>S461-Q461</f>
        <v/>
      </c>
      <c r="V461" s="1" t="n"/>
      <c r="W461" s="9">
        <f>S461-R461</f>
        <v/>
      </c>
      <c r="X461" s="9" t="n"/>
      <c r="AM461">
        <f>_xlfn.TEXTJOIN(" + ", TRUE, I461:M461)</f>
        <v/>
      </c>
    </row>
    <row r="462">
      <c r="A462" s="23" t="n"/>
      <c r="B462" s="1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7">
        <f>R462-Q462</f>
        <v/>
      </c>
      <c r="U462" s="7">
        <f>S462-Q462</f>
        <v/>
      </c>
      <c r="V462" s="1" t="n"/>
      <c r="W462" s="9">
        <f>S462-R462</f>
        <v/>
      </c>
      <c r="X462" s="9" t="n"/>
      <c r="AM462">
        <f>_xlfn.TEXTJOIN(" + ", TRUE, I462:M462)</f>
        <v/>
      </c>
    </row>
    <row r="463">
      <c r="A463" s="23" t="n"/>
      <c r="B463" s="1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7">
        <f>R463-Q463</f>
        <v/>
      </c>
      <c r="U463" s="7">
        <f>S463-Q463</f>
        <v/>
      </c>
      <c r="V463" s="1" t="n"/>
      <c r="W463" s="9">
        <f>S463-R463</f>
        <v/>
      </c>
      <c r="X463" s="9" t="n"/>
      <c r="AM463">
        <f>_xlfn.TEXTJOIN(" + ", TRUE, I463:M463)</f>
        <v/>
      </c>
    </row>
    <row r="464">
      <c r="A464" s="23" t="n"/>
      <c r="B464" s="1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7">
        <f>R464-Q464</f>
        <v/>
      </c>
      <c r="U464" s="7">
        <f>S464-Q464</f>
        <v/>
      </c>
      <c r="V464" s="1" t="n"/>
      <c r="W464" s="9">
        <f>S464-R464</f>
        <v/>
      </c>
      <c r="X464" s="9" t="n"/>
      <c r="AM464">
        <f>_xlfn.TEXTJOIN(" + ", TRUE, I464:M464)</f>
        <v/>
      </c>
    </row>
    <row r="465">
      <c r="A465" s="23" t="n"/>
      <c r="B465" s="1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7">
        <f>R465-Q465</f>
        <v/>
      </c>
      <c r="U465" s="7">
        <f>S465-Q465</f>
        <v/>
      </c>
      <c r="V465" s="1" t="n"/>
      <c r="W465" s="9">
        <f>S465-R465</f>
        <v/>
      </c>
      <c r="X465" s="9" t="n"/>
      <c r="AM465">
        <f>_xlfn.TEXTJOIN(" + ", TRUE, I465:M465)</f>
        <v/>
      </c>
    </row>
    <row r="466">
      <c r="A466" s="23" t="n"/>
      <c r="B466" s="1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7">
        <f>R466-Q466</f>
        <v/>
      </c>
      <c r="U466" s="7">
        <f>S466-Q466</f>
        <v/>
      </c>
      <c r="V466" s="1" t="n"/>
      <c r="W466" s="9">
        <f>S466-R466</f>
        <v/>
      </c>
      <c r="X466" s="9" t="n"/>
      <c r="AM466">
        <f>_xlfn.TEXTJOIN(" + ", TRUE, I466:M466)</f>
        <v/>
      </c>
    </row>
    <row r="467">
      <c r="A467" s="23" t="n"/>
      <c r="B467" s="1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7">
        <f>R467-Q467</f>
        <v/>
      </c>
      <c r="U467" s="7">
        <f>S467-Q467</f>
        <v/>
      </c>
      <c r="V467" s="1" t="n"/>
      <c r="W467" s="9">
        <f>S467-R467</f>
        <v/>
      </c>
      <c r="X467" s="9" t="n"/>
      <c r="AM467">
        <f>_xlfn.TEXTJOIN(" + ", TRUE, I467:M467)</f>
        <v/>
      </c>
    </row>
    <row r="468">
      <c r="A468" s="23" t="n"/>
      <c r="B468" s="1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7">
        <f>R468-Q468</f>
        <v/>
      </c>
      <c r="U468" s="7">
        <f>S468-Q468</f>
        <v/>
      </c>
      <c r="V468" s="1" t="n"/>
      <c r="W468" s="9">
        <f>S468-R468</f>
        <v/>
      </c>
      <c r="X468" s="9" t="n"/>
      <c r="AM468">
        <f>_xlfn.TEXTJOIN(" + ", TRUE, I468:M468)</f>
        <v/>
      </c>
    </row>
    <row r="469">
      <c r="A469" s="23" t="n"/>
      <c r="B469" s="1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7">
        <f>R469-Q469</f>
        <v/>
      </c>
      <c r="U469" s="7">
        <f>S469-Q469</f>
        <v/>
      </c>
      <c r="V469" s="1" t="n"/>
      <c r="W469" s="9">
        <f>S469-R469</f>
        <v/>
      </c>
      <c r="X469" s="9" t="n"/>
      <c r="AM469">
        <f>_xlfn.TEXTJOIN(" + ", TRUE, I469:M469)</f>
        <v/>
      </c>
    </row>
    <row r="470">
      <c r="A470" s="23" t="n"/>
      <c r="B470" s="1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7">
        <f>R470-Q470</f>
        <v/>
      </c>
      <c r="U470" s="7">
        <f>S470-Q470</f>
        <v/>
      </c>
      <c r="V470" s="1" t="n"/>
      <c r="W470" s="9">
        <f>S470-R470</f>
        <v/>
      </c>
      <c r="X470" s="9" t="n"/>
      <c r="AM470">
        <f>_xlfn.TEXTJOIN(" + ", TRUE, I470:M470)</f>
        <v/>
      </c>
    </row>
    <row r="471">
      <c r="A471" s="23" t="n"/>
      <c r="B471" s="1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7">
        <f>R471-Q471</f>
        <v/>
      </c>
      <c r="U471" s="7">
        <f>S471-Q471</f>
        <v/>
      </c>
      <c r="V471" s="1" t="n"/>
      <c r="W471" s="9">
        <f>S471-R471</f>
        <v/>
      </c>
      <c r="X471" s="9" t="n"/>
      <c r="AM471">
        <f>_xlfn.TEXTJOIN(" + ", TRUE, I471:M471)</f>
        <v/>
      </c>
    </row>
    <row r="472">
      <c r="A472" s="23" t="n"/>
      <c r="B472" s="1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7">
        <f>R472-Q472</f>
        <v/>
      </c>
      <c r="U472" s="7">
        <f>S472-Q472</f>
        <v/>
      </c>
      <c r="V472" s="1" t="n"/>
      <c r="W472" s="9">
        <f>S472-R472</f>
        <v/>
      </c>
      <c r="X472" s="9" t="n"/>
      <c r="AM472">
        <f>_xlfn.TEXTJOIN(" + ", TRUE, I472:M472)</f>
        <v/>
      </c>
    </row>
    <row r="473">
      <c r="A473" s="23" t="n"/>
      <c r="B473" s="1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7">
        <f>R473-Q473</f>
        <v/>
      </c>
      <c r="U473" s="7">
        <f>S473-Q473</f>
        <v/>
      </c>
      <c r="V473" s="1" t="n"/>
      <c r="W473" s="9">
        <f>S473-R473</f>
        <v/>
      </c>
      <c r="X473" s="9" t="n"/>
      <c r="AM473">
        <f>_xlfn.TEXTJOIN(" + ", TRUE, I473:M473)</f>
        <v/>
      </c>
    </row>
    <row r="474">
      <c r="A474" s="23" t="n"/>
      <c r="B474" s="1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7">
        <f>R474-Q474</f>
        <v/>
      </c>
      <c r="U474" s="7">
        <f>S474-Q474</f>
        <v/>
      </c>
      <c r="V474" s="1" t="n"/>
      <c r="W474" s="9">
        <f>S474-R474</f>
        <v/>
      </c>
      <c r="X474" s="9" t="n"/>
      <c r="AM474">
        <f>_xlfn.TEXTJOIN(" + ", TRUE, I474:M474)</f>
        <v/>
      </c>
    </row>
    <row r="475">
      <c r="A475" s="23" t="n"/>
      <c r="B475" s="1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7">
        <f>R475-Q475</f>
        <v/>
      </c>
      <c r="U475" s="7">
        <f>S475-Q475</f>
        <v/>
      </c>
      <c r="V475" s="1" t="n"/>
      <c r="W475" s="9">
        <f>S475-R475</f>
        <v/>
      </c>
      <c r="X475" s="9" t="n"/>
      <c r="AM475">
        <f>_xlfn.TEXTJOIN(" + ", TRUE, I475:M475)</f>
        <v/>
      </c>
    </row>
    <row r="476">
      <c r="A476" s="23" t="n"/>
      <c r="B476" s="1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7">
        <f>R476-Q476</f>
        <v/>
      </c>
      <c r="U476" s="7">
        <f>S476-Q476</f>
        <v/>
      </c>
      <c r="V476" s="1" t="n"/>
      <c r="W476" s="9">
        <f>S476-R476</f>
        <v/>
      </c>
      <c r="X476" s="9" t="n"/>
      <c r="AM476">
        <f>_xlfn.TEXTJOIN(" + ", TRUE, I476:M476)</f>
        <v/>
      </c>
    </row>
    <row r="477">
      <c r="A477" s="23" t="n"/>
      <c r="B477" s="1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7">
        <f>R477-Q477</f>
        <v/>
      </c>
      <c r="U477" s="7">
        <f>S477-Q477</f>
        <v/>
      </c>
      <c r="V477" s="1" t="n"/>
      <c r="W477" s="9">
        <f>S477-R477</f>
        <v/>
      </c>
      <c r="X477" s="9" t="n"/>
      <c r="AM477">
        <f>_xlfn.TEXTJOIN(" + ", TRUE, I477:M477)</f>
        <v/>
      </c>
    </row>
    <row r="478">
      <c r="A478" s="23" t="n"/>
      <c r="B478" s="1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7">
        <f>R478-Q478</f>
        <v/>
      </c>
      <c r="U478" s="7">
        <f>S478-Q478</f>
        <v/>
      </c>
      <c r="V478" s="1" t="n"/>
      <c r="W478" s="9">
        <f>S478-R478</f>
        <v/>
      </c>
      <c r="X478" s="9" t="n"/>
      <c r="AM478">
        <f>_xlfn.TEXTJOIN(" + ", TRUE, I478:M478)</f>
        <v/>
      </c>
    </row>
    <row r="479">
      <c r="A479" s="23" t="n"/>
      <c r="B479" s="1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7">
        <f>R479-Q479</f>
        <v/>
      </c>
      <c r="U479" s="7">
        <f>S479-Q479</f>
        <v/>
      </c>
      <c r="V479" s="1" t="n"/>
      <c r="W479" s="9">
        <f>S479-R479</f>
        <v/>
      </c>
      <c r="X479" s="9" t="n"/>
      <c r="AM479">
        <f>_xlfn.TEXTJOIN(" + ", TRUE, I479:M479)</f>
        <v/>
      </c>
    </row>
    <row r="480">
      <c r="A480" s="23" t="n"/>
      <c r="B480" s="1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7">
        <f>R480-Q480</f>
        <v/>
      </c>
      <c r="U480" s="7">
        <f>S480-Q480</f>
        <v/>
      </c>
      <c r="V480" s="1" t="n"/>
      <c r="W480" s="9">
        <f>S480-R480</f>
        <v/>
      </c>
      <c r="X480" s="9" t="n"/>
      <c r="AM480">
        <f>_xlfn.TEXTJOIN(" + ", TRUE, I480:M480)</f>
        <v/>
      </c>
    </row>
    <row r="481">
      <c r="A481" s="23" t="n"/>
      <c r="B481" s="1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7">
        <f>R481-Q481</f>
        <v/>
      </c>
      <c r="U481" s="7">
        <f>S481-Q481</f>
        <v/>
      </c>
      <c r="V481" s="1" t="n"/>
      <c r="W481" s="9">
        <f>S481-R481</f>
        <v/>
      </c>
      <c r="X481" s="9" t="n"/>
      <c r="AM481">
        <f>_xlfn.TEXTJOIN(" + ", TRUE, I481:M481)</f>
        <v/>
      </c>
    </row>
    <row r="482">
      <c r="A482" s="23" t="n"/>
      <c r="B482" s="1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7">
        <f>R482-Q482</f>
        <v/>
      </c>
      <c r="U482" s="7">
        <f>S482-Q482</f>
        <v/>
      </c>
      <c r="V482" s="1" t="n"/>
      <c r="W482" s="9">
        <f>S482-R482</f>
        <v/>
      </c>
      <c r="X482" s="9" t="n"/>
      <c r="AM482">
        <f>_xlfn.TEXTJOIN(" + ", TRUE, I482:M482)</f>
        <v/>
      </c>
    </row>
    <row r="483">
      <c r="A483" s="23" t="n"/>
      <c r="B483" s="1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7">
        <f>R483-Q483</f>
        <v/>
      </c>
      <c r="U483" s="7">
        <f>S483-Q483</f>
        <v/>
      </c>
      <c r="V483" s="1" t="n"/>
      <c r="W483" s="9">
        <f>S483-R483</f>
        <v/>
      </c>
      <c r="X483" s="9" t="n"/>
      <c r="AM483">
        <f>_xlfn.TEXTJOIN(" + ", TRUE, I483:M483)</f>
        <v/>
      </c>
    </row>
    <row r="484">
      <c r="A484" s="23" t="n"/>
      <c r="B484" s="1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7">
        <f>R484-Q484</f>
        <v/>
      </c>
      <c r="U484" s="7">
        <f>S484-Q484</f>
        <v/>
      </c>
      <c r="V484" s="1" t="n"/>
      <c r="W484" s="9">
        <f>S484-R484</f>
        <v/>
      </c>
      <c r="X484" s="9" t="n"/>
      <c r="AM484">
        <f>_xlfn.TEXTJOIN(" + ", TRUE, I484:M484)</f>
        <v/>
      </c>
    </row>
    <row r="485">
      <c r="A485" s="23" t="n"/>
      <c r="B485" s="1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7">
        <f>R485-Q485</f>
        <v/>
      </c>
      <c r="U485" s="7">
        <f>S485-Q485</f>
        <v/>
      </c>
      <c r="V485" s="1" t="n"/>
      <c r="W485" s="9">
        <f>S485-R485</f>
        <v/>
      </c>
      <c r="X485" s="9" t="n"/>
      <c r="AM485">
        <f>_xlfn.TEXTJOIN(" + ", TRUE, I485:M485)</f>
        <v/>
      </c>
    </row>
    <row r="486">
      <c r="A486" s="23" t="n"/>
      <c r="B486" s="1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7">
        <f>R486-Q486</f>
        <v/>
      </c>
      <c r="U486" s="7">
        <f>S486-Q486</f>
        <v/>
      </c>
      <c r="V486" s="1" t="n"/>
      <c r="W486" s="9">
        <f>S486-R486</f>
        <v/>
      </c>
      <c r="X486" s="9" t="n"/>
      <c r="AM486">
        <f>_xlfn.TEXTJOIN(" + ", TRUE, I486:M486)</f>
        <v/>
      </c>
    </row>
    <row r="487">
      <c r="A487" s="23" t="n"/>
      <c r="B487" s="1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7">
        <f>R487-Q487</f>
        <v/>
      </c>
      <c r="U487" s="7">
        <f>S487-Q487</f>
        <v/>
      </c>
      <c r="V487" s="1" t="n"/>
      <c r="W487" s="9">
        <f>S487-R487</f>
        <v/>
      </c>
      <c r="X487" s="9" t="n"/>
      <c r="AM487">
        <f>_xlfn.TEXTJOIN(" + ", TRUE, I487:M487)</f>
        <v/>
      </c>
    </row>
    <row r="488">
      <c r="A488" s="23" t="n"/>
      <c r="B488" s="1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7">
        <f>R488-Q488</f>
        <v/>
      </c>
      <c r="U488" s="7">
        <f>S488-Q488</f>
        <v/>
      </c>
      <c r="V488" s="1" t="n"/>
      <c r="W488" s="9">
        <f>S488-R488</f>
        <v/>
      </c>
      <c r="X488" s="9" t="n"/>
      <c r="AM488">
        <f>_xlfn.TEXTJOIN(" + ", TRUE, I488:M488)</f>
        <v/>
      </c>
    </row>
    <row r="489">
      <c r="A489" s="23" t="n"/>
      <c r="B489" s="1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7">
        <f>R489-Q489</f>
        <v/>
      </c>
      <c r="U489" s="7">
        <f>S489-Q489</f>
        <v/>
      </c>
      <c r="V489" s="1" t="n"/>
      <c r="W489" s="9">
        <f>S489-R489</f>
        <v/>
      </c>
      <c r="X489" s="9" t="n"/>
      <c r="AM489">
        <f>_xlfn.TEXTJOIN(" + ", TRUE, I489:M489)</f>
        <v/>
      </c>
    </row>
    <row r="490">
      <c r="A490" s="23" t="n"/>
      <c r="B490" s="1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7">
        <f>R490-Q490</f>
        <v/>
      </c>
      <c r="U490" s="7">
        <f>S490-Q490</f>
        <v/>
      </c>
      <c r="V490" s="1" t="n"/>
      <c r="W490" s="9">
        <f>S490-R490</f>
        <v/>
      </c>
      <c r="X490" s="9" t="n"/>
      <c r="AM490">
        <f>_xlfn.TEXTJOIN(" + ", TRUE, I490:M490)</f>
        <v/>
      </c>
    </row>
    <row r="491">
      <c r="A491" s="23" t="n"/>
      <c r="B491" s="1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7">
        <f>R491-Q491</f>
        <v/>
      </c>
      <c r="U491" s="7">
        <f>S491-Q491</f>
        <v/>
      </c>
      <c r="V491" s="1" t="n"/>
      <c r="W491" s="9">
        <f>S491-R491</f>
        <v/>
      </c>
      <c r="X491" s="9" t="n"/>
      <c r="AM491">
        <f>_xlfn.TEXTJOIN(" + ", TRUE, I491:M491)</f>
        <v/>
      </c>
    </row>
    <row r="492">
      <c r="A492" s="23" t="n"/>
      <c r="B492" s="1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7">
        <f>R492-Q492</f>
        <v/>
      </c>
      <c r="U492" s="7">
        <f>S492-Q492</f>
        <v/>
      </c>
      <c r="V492" s="1" t="n"/>
      <c r="W492" s="9">
        <f>S492-R492</f>
        <v/>
      </c>
      <c r="X492" s="9" t="n"/>
      <c r="AM492">
        <f>_xlfn.TEXTJOIN(" + ", TRUE, I492:M492)</f>
        <v/>
      </c>
    </row>
    <row r="493">
      <c r="A493" s="23" t="n"/>
      <c r="B493" s="1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7">
        <f>R493-Q493</f>
        <v/>
      </c>
      <c r="U493" s="7">
        <f>S493-Q493</f>
        <v/>
      </c>
      <c r="V493" s="1" t="n"/>
      <c r="W493" s="9">
        <f>S493-R493</f>
        <v/>
      </c>
      <c r="X493" s="9" t="n"/>
      <c r="AM493">
        <f>_xlfn.TEXTJOIN(" + ", TRUE, I493:M493)</f>
        <v/>
      </c>
    </row>
    <row r="494">
      <c r="A494" s="23" t="n"/>
      <c r="B494" s="1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7">
        <f>R494-Q494</f>
        <v/>
      </c>
      <c r="U494" s="7">
        <f>S494-Q494</f>
        <v/>
      </c>
      <c r="V494" s="1" t="n"/>
      <c r="W494" s="9">
        <f>S494-R494</f>
        <v/>
      </c>
      <c r="X494" s="9" t="n"/>
      <c r="AM494">
        <f>_xlfn.TEXTJOIN(" + ", TRUE, I494:M494)</f>
        <v/>
      </c>
    </row>
    <row r="495">
      <c r="A495" s="23" t="n"/>
      <c r="B495" s="1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7">
        <f>R495-Q495</f>
        <v/>
      </c>
      <c r="U495" s="7">
        <f>S495-Q495</f>
        <v/>
      </c>
      <c r="V495" s="1" t="n"/>
      <c r="W495" s="9">
        <f>S495-R495</f>
        <v/>
      </c>
      <c r="X495" s="9" t="n"/>
      <c r="AM495">
        <f>_xlfn.TEXTJOIN(" + ", TRUE, I495:M495)</f>
        <v/>
      </c>
    </row>
    <row r="496">
      <c r="A496" s="23" t="n"/>
      <c r="B496" s="1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7">
        <f>R496-Q496</f>
        <v/>
      </c>
      <c r="U496" s="7">
        <f>S496-Q496</f>
        <v/>
      </c>
      <c r="V496" s="1" t="n"/>
      <c r="W496" s="9">
        <f>S496-R496</f>
        <v/>
      </c>
      <c r="X496" s="9" t="n"/>
      <c r="AM496">
        <f>_xlfn.TEXTJOIN(" + ", TRUE, I496:M496)</f>
        <v/>
      </c>
    </row>
    <row r="497">
      <c r="A497" s="23" t="n"/>
      <c r="B497" s="1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7">
        <f>R497-Q497</f>
        <v/>
      </c>
      <c r="U497" s="7">
        <f>S497-Q497</f>
        <v/>
      </c>
      <c r="V497" s="1" t="n"/>
      <c r="W497" s="9">
        <f>S497-R497</f>
        <v/>
      </c>
      <c r="X497" s="9" t="n"/>
      <c r="AM497">
        <f>_xlfn.TEXTJOIN(" + ", TRUE, I497:M497)</f>
        <v/>
      </c>
    </row>
    <row r="498">
      <c r="A498" s="23" t="n"/>
      <c r="B498" s="1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7">
        <f>R498-Q498</f>
        <v/>
      </c>
      <c r="U498" s="7">
        <f>S498-Q498</f>
        <v/>
      </c>
      <c r="V498" s="1" t="n"/>
      <c r="W498" s="9">
        <f>S498-R498</f>
        <v/>
      </c>
      <c r="X498" s="9" t="n"/>
      <c r="AM498">
        <f>_xlfn.TEXTJOIN(" + ", TRUE, I498:M498)</f>
        <v/>
      </c>
    </row>
    <row r="499">
      <c r="A499" s="23" t="n"/>
      <c r="B499" s="1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7">
        <f>R499-Q499</f>
        <v/>
      </c>
      <c r="U499" s="7">
        <f>S499-Q499</f>
        <v/>
      </c>
      <c r="V499" s="1" t="n"/>
      <c r="W499" s="9">
        <f>S499-R499</f>
        <v/>
      </c>
      <c r="X499" s="9" t="n"/>
      <c r="AM499">
        <f>_xlfn.TEXTJOIN(" + ", TRUE, I499:M499)</f>
        <v/>
      </c>
    </row>
    <row r="500">
      <c r="A500" s="23" t="n"/>
      <c r="B500" s="1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7">
        <f>R500-Q500</f>
        <v/>
      </c>
      <c r="U500" s="7">
        <f>S500-Q500</f>
        <v/>
      </c>
      <c r="V500" s="1" t="n"/>
      <c r="W500" s="9">
        <f>S500-R500</f>
        <v/>
      </c>
      <c r="X500" s="9" t="n"/>
      <c r="AM500">
        <f>_xlfn.TEXTJOIN(" + ", TRUE, I500:M500)</f>
        <v/>
      </c>
    </row>
    <row r="501">
      <c r="A501" s="23" t="n"/>
      <c r="B501" s="1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7">
        <f>R501-Q501</f>
        <v/>
      </c>
      <c r="U501" s="7">
        <f>S501-Q501</f>
        <v/>
      </c>
      <c r="V501" s="1" t="n"/>
      <c r="W501" s="9">
        <f>S501-R501</f>
        <v/>
      </c>
      <c r="X501" s="9" t="n"/>
      <c r="AM501">
        <f>_xlfn.TEXTJOIN(" + ", TRUE, I501:M501)</f>
        <v/>
      </c>
    </row>
    <row r="502">
      <c r="A502" s="23" t="n"/>
      <c r="B502" s="1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7">
        <f>R502-Q502</f>
        <v/>
      </c>
      <c r="U502" s="7">
        <f>S502-Q502</f>
        <v/>
      </c>
      <c r="V502" s="1" t="n"/>
      <c r="W502" s="9">
        <f>S502-R502</f>
        <v/>
      </c>
      <c r="X502" s="9" t="n"/>
      <c r="AM502">
        <f>_xlfn.TEXTJOIN(" + ", TRUE, I502:M502)</f>
        <v/>
      </c>
    </row>
    <row r="503">
      <c r="A503" s="23" t="n"/>
      <c r="B503" s="1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7">
        <f>R503-Q503</f>
        <v/>
      </c>
      <c r="U503" s="7">
        <f>S503-Q503</f>
        <v/>
      </c>
      <c r="V503" s="1" t="n"/>
      <c r="W503" s="9">
        <f>S503-R503</f>
        <v/>
      </c>
      <c r="X503" s="9" t="n"/>
      <c r="AM503">
        <f>_xlfn.TEXTJOIN(" + ", TRUE, I503:M503)</f>
        <v/>
      </c>
    </row>
    <row r="504">
      <c r="A504" s="23" t="n"/>
      <c r="B504" s="1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7">
        <f>R504-Q504</f>
        <v/>
      </c>
      <c r="U504" s="7">
        <f>S504-Q504</f>
        <v/>
      </c>
      <c r="V504" s="1" t="n"/>
      <c r="W504" s="9">
        <f>S504-R504</f>
        <v/>
      </c>
      <c r="X504" s="9" t="n"/>
      <c r="AM504">
        <f>_xlfn.TEXTJOIN(" + ", TRUE, I504:M504)</f>
        <v/>
      </c>
    </row>
    <row r="505">
      <c r="A505" s="23" t="n"/>
      <c r="B505" s="1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7">
        <f>R505-Q505</f>
        <v/>
      </c>
      <c r="U505" s="7">
        <f>S505-Q505</f>
        <v/>
      </c>
      <c r="V505" s="1" t="n"/>
      <c r="W505" s="9">
        <f>S505-R505</f>
        <v/>
      </c>
      <c r="X505" s="9" t="n"/>
      <c r="AM505">
        <f>_xlfn.TEXTJOIN(" + ", TRUE, I505:M505)</f>
        <v/>
      </c>
    </row>
    <row r="506">
      <c r="A506" s="23" t="n"/>
      <c r="B506" s="1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7">
        <f>R506-Q506</f>
        <v/>
      </c>
      <c r="U506" s="7">
        <f>S506-Q506</f>
        <v/>
      </c>
      <c r="V506" s="1" t="n"/>
      <c r="W506" s="9">
        <f>S506-R506</f>
        <v/>
      </c>
      <c r="X506" s="9" t="n"/>
      <c r="AM506">
        <f>_xlfn.TEXTJOIN(" + ", TRUE, I506:M506)</f>
        <v/>
      </c>
    </row>
    <row r="507">
      <c r="A507" s="23" t="n"/>
      <c r="B507" s="1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7">
        <f>R507-Q507</f>
        <v/>
      </c>
      <c r="U507" s="7">
        <f>S507-Q507</f>
        <v/>
      </c>
      <c r="V507" s="1" t="n"/>
      <c r="W507" s="9">
        <f>S507-R507</f>
        <v/>
      </c>
      <c r="X507" s="9" t="n"/>
      <c r="AM507">
        <f>_xlfn.TEXTJOIN(" + ", TRUE, I507:M507)</f>
        <v/>
      </c>
    </row>
    <row r="508">
      <c r="A508" s="23" t="n"/>
      <c r="B508" s="1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7">
        <f>R508-Q508</f>
        <v/>
      </c>
      <c r="U508" s="7">
        <f>S508-Q508</f>
        <v/>
      </c>
      <c r="V508" s="1" t="n"/>
      <c r="W508" s="9">
        <f>S508-R508</f>
        <v/>
      </c>
      <c r="X508" s="9" t="n"/>
      <c r="AM508">
        <f>_xlfn.TEXTJOIN(" + ", TRUE, I508:M508)</f>
        <v/>
      </c>
    </row>
    <row r="509">
      <c r="A509" s="23" t="n"/>
      <c r="B509" s="1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7">
        <f>R509-Q509</f>
        <v/>
      </c>
      <c r="U509" s="7">
        <f>S509-Q509</f>
        <v/>
      </c>
      <c r="V509" s="1" t="n"/>
      <c r="W509" s="9">
        <f>S509-R509</f>
        <v/>
      </c>
      <c r="X509" s="9" t="n"/>
      <c r="AM509">
        <f>_xlfn.TEXTJOIN(" + ", TRUE, I509:M509)</f>
        <v/>
      </c>
    </row>
    <row r="510">
      <c r="A510" s="23" t="n"/>
      <c r="B510" s="1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7">
        <f>R510-Q510</f>
        <v/>
      </c>
      <c r="U510" s="7">
        <f>S510-Q510</f>
        <v/>
      </c>
      <c r="V510" s="1" t="n"/>
      <c r="W510" s="9">
        <f>S510-R510</f>
        <v/>
      </c>
      <c r="X510" s="9" t="n"/>
      <c r="AM510">
        <f>_xlfn.TEXTJOIN(" + ", TRUE, I510:M510)</f>
        <v/>
      </c>
    </row>
    <row r="511">
      <c r="A511" s="23" t="n"/>
      <c r="B511" s="1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7">
        <f>R511-Q511</f>
        <v/>
      </c>
      <c r="U511" s="7">
        <f>S511-Q511</f>
        <v/>
      </c>
      <c r="V511" s="1" t="n"/>
      <c r="W511" s="9">
        <f>S511-R511</f>
        <v/>
      </c>
      <c r="X511" s="9" t="n"/>
      <c r="AM511">
        <f>_xlfn.TEXTJOIN(" + ", TRUE, I511:M511)</f>
        <v/>
      </c>
    </row>
    <row r="512">
      <c r="A512" s="23" t="n"/>
      <c r="B512" s="1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7">
        <f>R512-Q512</f>
        <v/>
      </c>
      <c r="U512" s="7">
        <f>S512-Q512</f>
        <v/>
      </c>
      <c r="V512" s="1" t="n"/>
      <c r="W512" s="9">
        <f>S512-R512</f>
        <v/>
      </c>
      <c r="X512" s="9" t="n"/>
      <c r="AM512">
        <f>_xlfn.TEXTJOIN(" + ", TRUE, I512:M512)</f>
        <v/>
      </c>
    </row>
    <row r="513">
      <c r="A513" s="23" t="n"/>
      <c r="B513" s="1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7">
        <f>R513-Q513</f>
        <v/>
      </c>
      <c r="U513" s="7">
        <f>S513-Q513</f>
        <v/>
      </c>
      <c r="V513" s="1" t="n"/>
      <c r="W513" s="9">
        <f>S513-R513</f>
        <v/>
      </c>
      <c r="X513" s="9" t="n"/>
      <c r="AM513">
        <f>_xlfn.TEXTJOIN(" + ", TRUE, I513:M513)</f>
        <v/>
      </c>
    </row>
    <row r="514">
      <c r="A514" s="23" t="n"/>
      <c r="B514" s="1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7">
        <f>R514-Q514</f>
        <v/>
      </c>
      <c r="U514" s="7">
        <f>S514-Q514</f>
        <v/>
      </c>
      <c r="V514" s="1" t="n"/>
      <c r="W514" s="9">
        <f>S514-R514</f>
        <v/>
      </c>
      <c r="X514" s="9" t="n"/>
      <c r="AM514">
        <f>_xlfn.TEXTJOIN(" + ", TRUE, I514:M514)</f>
        <v/>
      </c>
    </row>
    <row r="515">
      <c r="A515" s="23" t="n"/>
      <c r="B515" s="1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7">
        <f>R515-Q515</f>
        <v/>
      </c>
      <c r="U515" s="7">
        <f>S515-Q515</f>
        <v/>
      </c>
      <c r="V515" s="1" t="n"/>
      <c r="W515" s="9">
        <f>S515-R515</f>
        <v/>
      </c>
      <c r="X515" s="9" t="n"/>
      <c r="AM515">
        <f>_xlfn.TEXTJOIN(" + ", TRUE, I515:M515)</f>
        <v/>
      </c>
    </row>
    <row r="516">
      <c r="A516" s="23" t="n"/>
      <c r="B516" s="1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7">
        <f>R516-Q516</f>
        <v/>
      </c>
      <c r="U516" s="7">
        <f>S516-Q516</f>
        <v/>
      </c>
      <c r="V516" s="1" t="n"/>
      <c r="W516" s="9">
        <f>S516-R516</f>
        <v/>
      </c>
      <c r="X516" s="9" t="n"/>
      <c r="AM516">
        <f>_xlfn.TEXTJOIN(" + ", TRUE, I516:M516)</f>
        <v/>
      </c>
    </row>
    <row r="517">
      <c r="A517" s="23" t="n"/>
      <c r="B517" s="1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7">
        <f>R517-Q517</f>
        <v/>
      </c>
      <c r="U517" s="7">
        <f>S517-Q517</f>
        <v/>
      </c>
      <c r="V517" s="1" t="n"/>
      <c r="W517" s="9">
        <f>S517-R517</f>
        <v/>
      </c>
      <c r="X517" s="9" t="n"/>
      <c r="AM517">
        <f>_xlfn.TEXTJOIN(" + ", TRUE, I517:M517)</f>
        <v/>
      </c>
    </row>
    <row r="518">
      <c r="A518" s="23" t="n"/>
      <c r="B518" s="1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7">
        <f>R518-Q518</f>
        <v/>
      </c>
      <c r="U518" s="7">
        <f>S518-Q518</f>
        <v/>
      </c>
      <c r="V518" s="1" t="n"/>
      <c r="W518" s="9">
        <f>S518-R518</f>
        <v/>
      </c>
      <c r="X518" s="9" t="n"/>
      <c r="AM518">
        <f>_xlfn.TEXTJOIN(" + ", TRUE, I518:M518)</f>
        <v/>
      </c>
    </row>
    <row r="519">
      <c r="A519" s="23" t="n"/>
      <c r="B519" s="1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7">
        <f>R519-Q519</f>
        <v/>
      </c>
      <c r="U519" s="7">
        <f>S519-Q519</f>
        <v/>
      </c>
      <c r="V519" s="1" t="n"/>
      <c r="W519" s="9">
        <f>S519-R519</f>
        <v/>
      </c>
      <c r="X519" s="9" t="n"/>
      <c r="AM519">
        <f>_xlfn.TEXTJOIN(" + ", TRUE, I519:M519)</f>
        <v/>
      </c>
    </row>
    <row r="520">
      <c r="A520" s="23" t="n"/>
      <c r="B520" s="1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7">
        <f>R520-Q520</f>
        <v/>
      </c>
      <c r="U520" s="7">
        <f>S520-Q520</f>
        <v/>
      </c>
      <c r="V520" s="1" t="n"/>
      <c r="W520" s="9">
        <f>S520-R520</f>
        <v/>
      </c>
      <c r="X520" s="9" t="n"/>
      <c r="AM520">
        <f>_xlfn.TEXTJOIN(" + ", TRUE, I520:M520)</f>
        <v/>
      </c>
    </row>
    <row r="521">
      <c r="A521" s="23" t="n"/>
      <c r="B521" s="1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7">
        <f>R521-Q521</f>
        <v/>
      </c>
      <c r="U521" s="7">
        <f>S521-Q521</f>
        <v/>
      </c>
      <c r="V521" s="1" t="n"/>
      <c r="W521" s="9">
        <f>S521-R521</f>
        <v/>
      </c>
      <c r="X521" s="9" t="n"/>
      <c r="AM521">
        <f>_xlfn.TEXTJOIN(" + ", TRUE, I521:M521)</f>
        <v/>
      </c>
    </row>
    <row r="522">
      <c r="A522" s="23" t="n"/>
      <c r="B522" s="1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7">
        <f>R522-Q522</f>
        <v/>
      </c>
      <c r="U522" s="7">
        <f>S522-Q522</f>
        <v/>
      </c>
      <c r="V522" s="1" t="n"/>
      <c r="W522" s="9">
        <f>S522-R522</f>
        <v/>
      </c>
      <c r="X522" s="9" t="n"/>
      <c r="AM522">
        <f>_xlfn.TEXTJOIN(" + ", TRUE, I522:M522)</f>
        <v/>
      </c>
    </row>
    <row r="523">
      <c r="A523" s="23" t="n"/>
      <c r="B523" s="1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7">
        <f>R523-Q523</f>
        <v/>
      </c>
      <c r="U523" s="7">
        <f>S523-Q523</f>
        <v/>
      </c>
      <c r="V523" s="1" t="n"/>
      <c r="W523" s="9">
        <f>S523-R523</f>
        <v/>
      </c>
      <c r="X523" s="9" t="n"/>
      <c r="AM523">
        <f>_xlfn.TEXTJOIN(" + ", TRUE, I523:M523)</f>
        <v/>
      </c>
    </row>
    <row r="524">
      <c r="A524" s="23" t="n"/>
      <c r="B524" s="1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7">
        <f>R524-Q524</f>
        <v/>
      </c>
      <c r="U524" s="7">
        <f>S524-Q524</f>
        <v/>
      </c>
      <c r="V524" s="1" t="n"/>
      <c r="W524" s="9">
        <f>S524-R524</f>
        <v/>
      </c>
      <c r="X524" s="9" t="n"/>
      <c r="AM524">
        <f>_xlfn.TEXTJOIN(" + ", TRUE, I524:M524)</f>
        <v/>
      </c>
    </row>
    <row r="525">
      <c r="A525" s="23" t="n"/>
      <c r="B525" s="1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7">
        <f>R525-Q525</f>
        <v/>
      </c>
      <c r="U525" s="7">
        <f>S525-Q525</f>
        <v/>
      </c>
      <c r="V525" s="1" t="n"/>
      <c r="W525" s="9">
        <f>S525-R525</f>
        <v/>
      </c>
      <c r="X525" s="9" t="n"/>
      <c r="AM525">
        <f>_xlfn.TEXTJOIN(" + ", TRUE, I525:M525)</f>
        <v/>
      </c>
    </row>
    <row r="526">
      <c r="A526" s="23" t="n"/>
      <c r="B526" s="1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7">
        <f>R526-Q526</f>
        <v/>
      </c>
      <c r="U526" s="7">
        <f>S526-Q526</f>
        <v/>
      </c>
      <c r="V526" s="1" t="n"/>
      <c r="W526" s="9">
        <f>S526-R526</f>
        <v/>
      </c>
      <c r="X526" s="9" t="n"/>
      <c r="AM526">
        <f>_xlfn.TEXTJOIN(" + ", TRUE, I526:M526)</f>
        <v/>
      </c>
    </row>
    <row r="527">
      <c r="A527" s="23" t="n"/>
      <c r="B527" s="1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7">
        <f>R527-Q527</f>
        <v/>
      </c>
      <c r="U527" s="7">
        <f>S527-Q527</f>
        <v/>
      </c>
      <c r="V527" s="1" t="n"/>
      <c r="W527" s="9">
        <f>S527-R527</f>
        <v/>
      </c>
      <c r="X527" s="9" t="n"/>
      <c r="AM527">
        <f>_xlfn.TEXTJOIN(" + ", TRUE, I527:M527)</f>
        <v/>
      </c>
    </row>
    <row r="528">
      <c r="A528" s="23" t="n"/>
      <c r="B528" s="1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7">
        <f>R528-Q528</f>
        <v/>
      </c>
      <c r="U528" s="7">
        <f>S528-Q528</f>
        <v/>
      </c>
      <c r="V528" s="1" t="n"/>
      <c r="W528" s="9">
        <f>S528-R528</f>
        <v/>
      </c>
      <c r="X528" s="9" t="n"/>
      <c r="AM528">
        <f>_xlfn.TEXTJOIN(" + ", TRUE, I528:M528)</f>
        <v/>
      </c>
    </row>
    <row r="529">
      <c r="A529" s="23" t="n"/>
      <c r="B529" s="1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7">
        <f>R529-Q529</f>
        <v/>
      </c>
      <c r="U529" s="7">
        <f>S529-Q529</f>
        <v/>
      </c>
      <c r="V529" s="1" t="n"/>
      <c r="W529" s="9">
        <f>S529-R529</f>
        <v/>
      </c>
      <c r="X529" s="9" t="n"/>
      <c r="AM529">
        <f>_xlfn.TEXTJOIN(" + ", TRUE, I529:M529)</f>
        <v/>
      </c>
    </row>
    <row r="530">
      <c r="A530" s="23" t="n"/>
      <c r="B530" s="1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7">
        <f>R530-Q530</f>
        <v/>
      </c>
      <c r="U530" s="7">
        <f>S530-Q530</f>
        <v/>
      </c>
      <c r="V530" s="1" t="n"/>
      <c r="W530" s="9">
        <f>S530-R530</f>
        <v/>
      </c>
      <c r="X530" s="9" t="n"/>
      <c r="AM530">
        <f>_xlfn.TEXTJOIN(" + ", TRUE, I530:M530)</f>
        <v/>
      </c>
    </row>
    <row r="531">
      <c r="A531" s="23" t="n"/>
      <c r="B531" s="1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7">
        <f>R531-Q531</f>
        <v/>
      </c>
      <c r="U531" s="7">
        <f>S531-Q531</f>
        <v/>
      </c>
      <c r="V531" s="1" t="n"/>
      <c r="W531" s="9">
        <f>S531-R531</f>
        <v/>
      </c>
      <c r="X531" s="9" t="n"/>
      <c r="AM531">
        <f>_xlfn.TEXTJOIN(" + ", TRUE, I531:M531)</f>
        <v/>
      </c>
    </row>
    <row r="532">
      <c r="A532" s="23" t="n"/>
      <c r="B532" s="1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7">
        <f>R532-Q532</f>
        <v/>
      </c>
      <c r="U532" s="7">
        <f>S532-Q532</f>
        <v/>
      </c>
      <c r="V532" s="1" t="n"/>
      <c r="W532" s="9">
        <f>S532-R532</f>
        <v/>
      </c>
      <c r="X532" s="9" t="n"/>
      <c r="AM532">
        <f>_xlfn.TEXTJOIN(" + ", TRUE, I532:M532)</f>
        <v/>
      </c>
    </row>
    <row r="533">
      <c r="A533" s="23" t="n"/>
      <c r="B533" s="1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7">
        <f>R533-Q533</f>
        <v/>
      </c>
      <c r="U533" s="7">
        <f>S533-Q533</f>
        <v/>
      </c>
      <c r="V533" s="1" t="n"/>
      <c r="W533" s="9">
        <f>S533-R533</f>
        <v/>
      </c>
      <c r="X533" s="9" t="n"/>
      <c r="AM533">
        <f>_xlfn.TEXTJOIN(" + ", TRUE, I533:M533)</f>
        <v/>
      </c>
    </row>
    <row r="534">
      <c r="A534" s="23" t="n"/>
      <c r="B534" s="1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7">
        <f>R534-Q534</f>
        <v/>
      </c>
      <c r="U534" s="7">
        <f>S534-Q534</f>
        <v/>
      </c>
      <c r="V534" s="1" t="n"/>
      <c r="W534" s="9">
        <f>S534-R534</f>
        <v/>
      </c>
      <c r="X534" s="9" t="n"/>
      <c r="AM534">
        <f>_xlfn.TEXTJOIN(" + ", TRUE, I534:M534)</f>
        <v/>
      </c>
    </row>
    <row r="535">
      <c r="A535" s="23" t="n"/>
      <c r="B535" s="1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7">
        <f>R535-Q535</f>
        <v/>
      </c>
      <c r="U535" s="7">
        <f>S535-Q535</f>
        <v/>
      </c>
      <c r="V535" s="1" t="n"/>
      <c r="W535" s="9">
        <f>S535-R535</f>
        <v/>
      </c>
      <c r="X535" s="9" t="n"/>
      <c r="AM535">
        <f>_xlfn.TEXTJOIN(" + ", TRUE, I535:M535)</f>
        <v/>
      </c>
    </row>
    <row r="536">
      <c r="A536" s="23" t="n"/>
      <c r="B536" s="1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7">
        <f>R536-Q536</f>
        <v/>
      </c>
      <c r="U536" s="7">
        <f>S536-Q536</f>
        <v/>
      </c>
      <c r="V536" s="1" t="n"/>
      <c r="W536" s="9">
        <f>S536-R536</f>
        <v/>
      </c>
      <c r="X536" s="9" t="n"/>
      <c r="AM536">
        <f>_xlfn.TEXTJOIN(" + ", TRUE, I536:M536)</f>
        <v/>
      </c>
    </row>
    <row r="537">
      <c r="A537" s="23" t="n"/>
      <c r="B537" s="1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7">
        <f>R537-Q537</f>
        <v/>
      </c>
      <c r="U537" s="7">
        <f>S537-Q537</f>
        <v/>
      </c>
      <c r="V537" s="1" t="n"/>
      <c r="W537" s="9">
        <f>S537-R537</f>
        <v/>
      </c>
      <c r="X537" s="9" t="n"/>
      <c r="AM537">
        <f>_xlfn.TEXTJOIN(" + ", TRUE, I537:M537)</f>
        <v/>
      </c>
    </row>
    <row r="538">
      <c r="A538" s="23" t="n"/>
      <c r="B538" s="1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7">
        <f>R538-Q538</f>
        <v/>
      </c>
      <c r="U538" s="7">
        <f>S538-Q538</f>
        <v/>
      </c>
      <c r="V538" s="1" t="n"/>
      <c r="W538" s="9">
        <f>S538-R538</f>
        <v/>
      </c>
      <c r="X538" s="9" t="n"/>
      <c r="AM538">
        <f>_xlfn.TEXTJOIN(" + ", TRUE, I538:M538)</f>
        <v/>
      </c>
    </row>
    <row r="539">
      <c r="A539" s="23" t="n"/>
      <c r="B539" s="1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7">
        <f>R539-Q539</f>
        <v/>
      </c>
      <c r="U539" s="7">
        <f>S539-Q539</f>
        <v/>
      </c>
      <c r="V539" s="1" t="n"/>
      <c r="W539" s="9">
        <f>S539-R539</f>
        <v/>
      </c>
      <c r="X539" s="9" t="n"/>
      <c r="AM539">
        <f>_xlfn.TEXTJOIN(" + ", TRUE, I539:M539)</f>
        <v/>
      </c>
    </row>
    <row r="540">
      <c r="A540" s="23" t="n"/>
      <c r="B540" s="1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7">
        <f>R540-Q540</f>
        <v/>
      </c>
      <c r="U540" s="7">
        <f>S540-Q540</f>
        <v/>
      </c>
      <c r="V540" s="1" t="n"/>
      <c r="W540" s="9">
        <f>S540-R540</f>
        <v/>
      </c>
      <c r="X540" s="9" t="n"/>
      <c r="AM540">
        <f>_xlfn.TEXTJOIN(" + ", TRUE, I540:M540)</f>
        <v/>
      </c>
    </row>
    <row r="541">
      <c r="A541" s="23" t="n"/>
      <c r="B541" s="1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7">
        <f>R541-Q541</f>
        <v/>
      </c>
      <c r="U541" s="7">
        <f>S541-Q541</f>
        <v/>
      </c>
      <c r="V541" s="1" t="n"/>
      <c r="W541" s="9">
        <f>S541-R541</f>
        <v/>
      </c>
      <c r="X541" s="9" t="n"/>
      <c r="AM541">
        <f>_xlfn.TEXTJOIN(" + ", TRUE, I541:M541)</f>
        <v/>
      </c>
    </row>
    <row r="542">
      <c r="A542" s="23" t="n"/>
      <c r="B542" s="1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7">
        <f>R542-Q542</f>
        <v/>
      </c>
      <c r="U542" s="7">
        <f>S542-Q542</f>
        <v/>
      </c>
      <c r="V542" s="1" t="n"/>
      <c r="W542" s="9">
        <f>S542-R542</f>
        <v/>
      </c>
      <c r="X542" s="9" t="n"/>
      <c r="AM542">
        <f>_xlfn.TEXTJOIN(" + ", TRUE, I542:M542)</f>
        <v/>
      </c>
    </row>
    <row r="543">
      <c r="A543" s="23" t="n"/>
      <c r="B543" s="1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7">
        <f>R543-Q543</f>
        <v/>
      </c>
      <c r="U543" s="7">
        <f>S543-Q543</f>
        <v/>
      </c>
      <c r="V543" s="1" t="n"/>
      <c r="W543" s="9">
        <f>S543-R543</f>
        <v/>
      </c>
      <c r="X543" s="9" t="n"/>
      <c r="AM543">
        <f>_xlfn.TEXTJOIN(" + ", TRUE, I543:M543)</f>
        <v/>
      </c>
    </row>
    <row r="544">
      <c r="A544" s="23" t="n"/>
      <c r="B544" s="1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7">
        <f>R544-Q544</f>
        <v/>
      </c>
      <c r="U544" s="7">
        <f>S544-Q544</f>
        <v/>
      </c>
      <c r="V544" s="1" t="n"/>
      <c r="W544" s="9">
        <f>S544-R544</f>
        <v/>
      </c>
      <c r="X544" s="9" t="n"/>
      <c r="AM544">
        <f>_xlfn.TEXTJOIN(" + ", TRUE, I544:M544)</f>
        <v/>
      </c>
    </row>
    <row r="545">
      <c r="A545" s="23" t="n"/>
      <c r="B545" s="1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7">
        <f>R545-Q545</f>
        <v/>
      </c>
      <c r="U545" s="7">
        <f>S545-Q545</f>
        <v/>
      </c>
      <c r="V545" s="1" t="n"/>
      <c r="W545" s="9">
        <f>S545-R545</f>
        <v/>
      </c>
      <c r="X545" s="9" t="n"/>
      <c r="AM545">
        <f>_xlfn.TEXTJOIN(" + ", TRUE, I545:M545)</f>
        <v/>
      </c>
    </row>
    <row r="546">
      <c r="A546" s="23" t="n"/>
      <c r="B546" s="1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7">
        <f>R546-Q546</f>
        <v/>
      </c>
      <c r="U546" s="7">
        <f>S546-Q546</f>
        <v/>
      </c>
      <c r="V546" s="1" t="n"/>
      <c r="W546" s="9">
        <f>S546-R546</f>
        <v/>
      </c>
      <c r="X546" s="9" t="n"/>
      <c r="AM546">
        <f>_xlfn.TEXTJOIN(" + ", TRUE, I546:M546)</f>
        <v/>
      </c>
    </row>
    <row r="547">
      <c r="A547" s="23" t="n"/>
      <c r="B547" s="1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7">
        <f>R547-Q547</f>
        <v/>
      </c>
      <c r="U547" s="7">
        <f>S547-Q547</f>
        <v/>
      </c>
      <c r="V547" s="1" t="n"/>
      <c r="W547" s="9">
        <f>S547-R547</f>
        <v/>
      </c>
      <c r="X547" s="9" t="n"/>
      <c r="AM547">
        <f>_xlfn.TEXTJOIN(" + ", TRUE, I547:M547)</f>
        <v/>
      </c>
    </row>
    <row r="548">
      <c r="A548" s="23" t="n"/>
      <c r="B548" s="1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7">
        <f>R548-Q548</f>
        <v/>
      </c>
      <c r="U548" s="7">
        <f>S548-Q548</f>
        <v/>
      </c>
      <c r="V548" s="1" t="n"/>
      <c r="W548" s="9">
        <f>S548-R548</f>
        <v/>
      </c>
      <c r="X548" s="9" t="n"/>
      <c r="AM548">
        <f>_xlfn.TEXTJOIN(" + ", TRUE, I548:M548)</f>
        <v/>
      </c>
    </row>
    <row r="549">
      <c r="A549" s="23" t="n"/>
      <c r="B549" s="1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7">
        <f>R549-Q549</f>
        <v/>
      </c>
      <c r="U549" s="7">
        <f>S549-Q549</f>
        <v/>
      </c>
      <c r="V549" s="1" t="n"/>
      <c r="W549" s="9">
        <f>S549-R549</f>
        <v/>
      </c>
      <c r="X549" s="9" t="n"/>
      <c r="AM549">
        <f>_xlfn.TEXTJOIN(" + ", TRUE, I549:M549)</f>
        <v/>
      </c>
    </row>
    <row r="550">
      <c r="A550" s="23" t="n"/>
      <c r="B550" s="1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7">
        <f>R550-Q550</f>
        <v/>
      </c>
      <c r="U550" s="7">
        <f>S550-Q550</f>
        <v/>
      </c>
      <c r="V550" s="1" t="n"/>
      <c r="W550" s="9">
        <f>S550-R550</f>
        <v/>
      </c>
      <c r="X550" s="9" t="n"/>
      <c r="AM550">
        <f>_xlfn.TEXTJOIN(" + ", TRUE, I550:M550)</f>
        <v/>
      </c>
    </row>
    <row r="551">
      <c r="A551" s="23" t="n"/>
      <c r="B551" s="1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7">
        <f>R551-Q551</f>
        <v/>
      </c>
      <c r="U551" s="7">
        <f>S551-Q551</f>
        <v/>
      </c>
      <c r="V551" s="1" t="n"/>
      <c r="W551" s="9">
        <f>S551-R551</f>
        <v/>
      </c>
      <c r="X551" s="9" t="n"/>
      <c r="AM551">
        <f>_xlfn.TEXTJOIN(" + ", TRUE, I551:M551)</f>
        <v/>
      </c>
    </row>
    <row r="552">
      <c r="A552" s="23" t="n"/>
      <c r="B552" s="1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7">
        <f>R552-Q552</f>
        <v/>
      </c>
      <c r="U552" s="7">
        <f>S552-Q552</f>
        <v/>
      </c>
      <c r="V552" s="1" t="n"/>
      <c r="W552" s="9">
        <f>S552-R552</f>
        <v/>
      </c>
      <c r="X552" s="9" t="n"/>
      <c r="AM552">
        <f>_xlfn.TEXTJOIN(" + ", TRUE, I552:M552)</f>
        <v/>
      </c>
    </row>
    <row r="553">
      <c r="A553" s="23" t="n"/>
      <c r="B553" s="1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7">
        <f>R553-Q553</f>
        <v/>
      </c>
      <c r="U553" s="7">
        <f>S553-Q553</f>
        <v/>
      </c>
      <c r="V553" s="1" t="n"/>
      <c r="W553" s="9">
        <f>S553-R553</f>
        <v/>
      </c>
      <c r="X553" s="9" t="n"/>
      <c r="AM553">
        <f>_xlfn.TEXTJOIN(" + ", TRUE, I553:M553)</f>
        <v/>
      </c>
    </row>
    <row r="554">
      <c r="A554" s="23" t="n"/>
      <c r="B554" s="1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7">
        <f>R554-Q554</f>
        <v/>
      </c>
      <c r="U554" s="7">
        <f>S554-Q554</f>
        <v/>
      </c>
      <c r="V554" s="1" t="n"/>
      <c r="W554" s="9">
        <f>S554-R554</f>
        <v/>
      </c>
      <c r="X554" s="9" t="n"/>
      <c r="AM554">
        <f>_xlfn.TEXTJOIN(" + ", TRUE, I554:M554)</f>
        <v/>
      </c>
    </row>
    <row r="555">
      <c r="A555" s="23" t="n"/>
      <c r="B555" s="1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7">
        <f>R555-Q555</f>
        <v/>
      </c>
      <c r="U555" s="7">
        <f>S555-Q555</f>
        <v/>
      </c>
      <c r="V555" s="1" t="n"/>
      <c r="W555" s="9">
        <f>S555-R555</f>
        <v/>
      </c>
      <c r="X555" s="9" t="n"/>
      <c r="AM555">
        <f>_xlfn.TEXTJOIN(" + ", TRUE, I555:M555)</f>
        <v/>
      </c>
    </row>
    <row r="556">
      <c r="A556" s="23" t="n"/>
      <c r="B556" s="1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7">
        <f>R556-Q556</f>
        <v/>
      </c>
      <c r="U556" s="7">
        <f>S556-Q556</f>
        <v/>
      </c>
      <c r="V556" s="1" t="n"/>
      <c r="W556" s="9">
        <f>S556-R556</f>
        <v/>
      </c>
      <c r="X556" s="9" t="n"/>
      <c r="AM556">
        <f>_xlfn.TEXTJOIN(" + ", TRUE, I556:M556)</f>
        <v/>
      </c>
    </row>
    <row r="557">
      <c r="A557" s="23" t="n"/>
      <c r="B557" s="1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7">
        <f>R557-Q557</f>
        <v/>
      </c>
      <c r="U557" s="7">
        <f>S557-Q557</f>
        <v/>
      </c>
      <c r="V557" s="1" t="n"/>
      <c r="W557" s="9">
        <f>S557-R557</f>
        <v/>
      </c>
      <c r="X557" s="9" t="n"/>
      <c r="AM557">
        <f>_xlfn.TEXTJOIN(" + ", TRUE, I557:M557)</f>
        <v/>
      </c>
    </row>
    <row r="558">
      <c r="A558" s="23" t="n"/>
      <c r="B558" s="1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7">
        <f>R558-Q558</f>
        <v/>
      </c>
      <c r="U558" s="7">
        <f>S558-Q558</f>
        <v/>
      </c>
      <c r="V558" s="1" t="n"/>
      <c r="W558" s="9">
        <f>S558-R558</f>
        <v/>
      </c>
      <c r="X558" s="9" t="n"/>
      <c r="AM558">
        <f>_xlfn.TEXTJOIN(" + ", TRUE, I558:M558)</f>
        <v/>
      </c>
    </row>
    <row r="559">
      <c r="A559" s="23" t="n"/>
      <c r="B559" s="1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7">
        <f>R559-Q559</f>
        <v/>
      </c>
      <c r="U559" s="7">
        <f>S559-Q559</f>
        <v/>
      </c>
      <c r="V559" s="1" t="n"/>
      <c r="W559" s="9">
        <f>S559-R559</f>
        <v/>
      </c>
      <c r="X559" s="9" t="n"/>
      <c r="AM559">
        <f>_xlfn.TEXTJOIN(" + ", TRUE, I559:M559)</f>
        <v/>
      </c>
    </row>
    <row r="560">
      <c r="A560" s="23" t="n"/>
      <c r="B560" s="1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7">
        <f>R560-Q560</f>
        <v/>
      </c>
      <c r="U560" s="7">
        <f>S560-Q560</f>
        <v/>
      </c>
      <c r="V560" s="1" t="n"/>
      <c r="W560" s="9">
        <f>S560-R560</f>
        <v/>
      </c>
      <c r="X560" s="9" t="n"/>
      <c r="AM560">
        <f>_xlfn.TEXTJOIN(" + ", TRUE, I560:M560)</f>
        <v/>
      </c>
    </row>
    <row r="561">
      <c r="A561" s="23" t="n"/>
      <c r="B561" s="1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7">
        <f>R561-Q561</f>
        <v/>
      </c>
      <c r="U561" s="7">
        <f>S561-Q561</f>
        <v/>
      </c>
      <c r="V561" s="1" t="n"/>
      <c r="W561" s="9">
        <f>S561-R561</f>
        <v/>
      </c>
      <c r="X561" s="9" t="n"/>
      <c r="AM561">
        <f>_xlfn.TEXTJOIN(" + ", TRUE, I561:M561)</f>
        <v/>
      </c>
    </row>
    <row r="562">
      <c r="A562" s="23" t="n"/>
      <c r="B562" s="1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7">
        <f>R562-Q562</f>
        <v/>
      </c>
      <c r="U562" s="7">
        <f>S562-Q562</f>
        <v/>
      </c>
      <c r="V562" s="1" t="n"/>
      <c r="W562" s="9">
        <f>S562-R562</f>
        <v/>
      </c>
      <c r="X562" s="9" t="n"/>
      <c r="AM562">
        <f>_xlfn.TEXTJOIN(" + ", TRUE, I562:M562)</f>
        <v/>
      </c>
    </row>
    <row r="563">
      <c r="A563" s="23" t="n"/>
      <c r="B563" s="1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7">
        <f>R563-Q563</f>
        <v/>
      </c>
      <c r="U563" s="7">
        <f>S563-Q563</f>
        <v/>
      </c>
      <c r="V563" s="1" t="n"/>
      <c r="W563" s="9">
        <f>S563-R563</f>
        <v/>
      </c>
      <c r="X563" s="9" t="n"/>
      <c r="AM563">
        <f>_xlfn.TEXTJOIN(" + ", TRUE, I563:M563)</f>
        <v/>
      </c>
    </row>
    <row r="564">
      <c r="A564" s="23" t="n"/>
      <c r="B564" s="1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7">
        <f>R564-Q564</f>
        <v/>
      </c>
      <c r="U564" s="7">
        <f>S564-Q564</f>
        <v/>
      </c>
      <c r="V564" s="1" t="n"/>
      <c r="W564" s="9">
        <f>S564-R564</f>
        <v/>
      </c>
      <c r="X564" s="9" t="n"/>
      <c r="AM564">
        <f>_xlfn.TEXTJOIN(" + ", TRUE, I564:M564)</f>
        <v/>
      </c>
    </row>
    <row r="565">
      <c r="A565" s="23" t="n"/>
      <c r="B565" s="1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7">
        <f>R565-Q565</f>
        <v/>
      </c>
      <c r="U565" s="7">
        <f>S565-Q565</f>
        <v/>
      </c>
      <c r="V565" s="1" t="n"/>
      <c r="W565" s="9">
        <f>S565-R565</f>
        <v/>
      </c>
      <c r="X565" s="9" t="n"/>
      <c r="AM565">
        <f>_xlfn.TEXTJOIN(" + ", TRUE, I565:M565)</f>
        <v/>
      </c>
    </row>
    <row r="566">
      <c r="A566" s="23" t="n"/>
      <c r="B566" s="1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7">
        <f>R566-Q566</f>
        <v/>
      </c>
      <c r="U566" s="7">
        <f>S566-Q566</f>
        <v/>
      </c>
      <c r="V566" s="1" t="n"/>
      <c r="W566" s="9">
        <f>S566-R566</f>
        <v/>
      </c>
      <c r="X566" s="9" t="n"/>
      <c r="AM566">
        <f>_xlfn.TEXTJOIN(" + ", TRUE, I566:M566)</f>
        <v/>
      </c>
    </row>
    <row r="567">
      <c r="A567" s="23" t="n"/>
      <c r="B567" s="1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7">
        <f>R567-Q567</f>
        <v/>
      </c>
      <c r="U567" s="7">
        <f>S567-Q567</f>
        <v/>
      </c>
      <c r="V567" s="1" t="n"/>
      <c r="W567" s="9">
        <f>S567-R567</f>
        <v/>
      </c>
      <c r="X567" s="9" t="n"/>
      <c r="AM567">
        <f>_xlfn.TEXTJOIN(" + ", TRUE, I567:M567)</f>
        <v/>
      </c>
    </row>
    <row r="568">
      <c r="A568" s="23" t="n"/>
      <c r="B568" s="1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7">
        <f>R568-Q568</f>
        <v/>
      </c>
      <c r="U568" s="7">
        <f>S568-Q568</f>
        <v/>
      </c>
      <c r="V568" s="1" t="n"/>
      <c r="W568" s="9">
        <f>S568-R568</f>
        <v/>
      </c>
      <c r="X568" s="9" t="n"/>
      <c r="AM568">
        <f>_xlfn.TEXTJOIN(" + ", TRUE, I568:M568)</f>
        <v/>
      </c>
    </row>
    <row r="569">
      <c r="A569" s="23" t="n"/>
      <c r="B569" s="1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7">
        <f>R569-Q569</f>
        <v/>
      </c>
      <c r="U569" s="7">
        <f>S569-Q569</f>
        <v/>
      </c>
      <c r="V569" s="1" t="n"/>
      <c r="W569" s="9">
        <f>S569-R569</f>
        <v/>
      </c>
      <c r="X569" s="9" t="n"/>
      <c r="AM569">
        <f>_xlfn.TEXTJOIN(" + ", TRUE, I569:M569)</f>
        <v/>
      </c>
    </row>
    <row r="570">
      <c r="A570" s="23" t="n"/>
      <c r="B570" s="1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7">
        <f>R570-Q570</f>
        <v/>
      </c>
      <c r="U570" s="7">
        <f>S570-Q570</f>
        <v/>
      </c>
      <c r="V570" s="1" t="n"/>
      <c r="W570" s="9">
        <f>S570-R570</f>
        <v/>
      </c>
      <c r="X570" s="9" t="n"/>
      <c r="AM570">
        <f>_xlfn.TEXTJOIN(" + ", TRUE, I570:M570)</f>
        <v/>
      </c>
    </row>
    <row r="571">
      <c r="A571" s="23" t="n"/>
      <c r="B571" s="1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7">
        <f>R571-Q571</f>
        <v/>
      </c>
      <c r="U571" s="7">
        <f>S571-Q571</f>
        <v/>
      </c>
      <c r="V571" s="1" t="n"/>
      <c r="W571" s="9">
        <f>S571-R571</f>
        <v/>
      </c>
      <c r="X571" s="9" t="n"/>
      <c r="AM571">
        <f>_xlfn.TEXTJOIN(" + ", TRUE, I571:M571)</f>
        <v/>
      </c>
    </row>
    <row r="572">
      <c r="A572" s="23" t="n"/>
      <c r="B572" s="1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7">
        <f>R572-Q572</f>
        <v/>
      </c>
      <c r="U572" s="7">
        <f>S572-Q572</f>
        <v/>
      </c>
      <c r="V572" s="1" t="n"/>
      <c r="W572" s="9">
        <f>S572-R572</f>
        <v/>
      </c>
      <c r="X572" s="9" t="n"/>
      <c r="AM572">
        <f>_xlfn.TEXTJOIN(" + ", TRUE, I572:M572)</f>
        <v/>
      </c>
    </row>
    <row r="573">
      <c r="A573" s="23" t="n"/>
      <c r="B573" s="1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7">
        <f>R573-Q573</f>
        <v/>
      </c>
      <c r="U573" s="7">
        <f>S573-Q573</f>
        <v/>
      </c>
      <c r="V573" s="1" t="n"/>
      <c r="W573" s="9">
        <f>S573-R573</f>
        <v/>
      </c>
      <c r="X573" s="9" t="n"/>
      <c r="AM573">
        <f>_xlfn.TEXTJOIN(" + ", TRUE, I573:M573)</f>
        <v/>
      </c>
    </row>
    <row r="574">
      <c r="A574" s="23" t="n"/>
      <c r="B574" s="1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7">
        <f>R574-Q574</f>
        <v/>
      </c>
      <c r="U574" s="7">
        <f>S574-Q574</f>
        <v/>
      </c>
      <c r="V574" s="1" t="n"/>
      <c r="W574" s="9">
        <f>S574-R574</f>
        <v/>
      </c>
      <c r="X574" s="9" t="n"/>
      <c r="AM574">
        <f>_xlfn.TEXTJOIN(" + ", TRUE, I574:M574)</f>
        <v/>
      </c>
    </row>
    <row r="575">
      <c r="A575" s="23" t="n"/>
      <c r="B575" s="1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7">
        <f>R575-Q575</f>
        <v/>
      </c>
      <c r="U575" s="7">
        <f>S575-Q575</f>
        <v/>
      </c>
      <c r="V575" s="1" t="n"/>
      <c r="W575" s="9">
        <f>S575-R575</f>
        <v/>
      </c>
      <c r="X575" s="9" t="n"/>
      <c r="AM575">
        <f>_xlfn.TEXTJOIN(" + ", TRUE, I575:M575)</f>
        <v/>
      </c>
    </row>
    <row r="576">
      <c r="A576" s="23" t="n"/>
      <c r="B576" s="1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7">
        <f>R576-Q576</f>
        <v/>
      </c>
      <c r="U576" s="7">
        <f>S576-Q576</f>
        <v/>
      </c>
      <c r="V576" s="1" t="n"/>
      <c r="W576" s="9">
        <f>S576-R576</f>
        <v/>
      </c>
      <c r="X576" s="9" t="n"/>
      <c r="AM576">
        <f>_xlfn.TEXTJOIN(" + ", TRUE, I576:M576)</f>
        <v/>
      </c>
    </row>
    <row r="577">
      <c r="A577" s="23" t="n"/>
      <c r="B577" s="1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7">
        <f>R577-Q577</f>
        <v/>
      </c>
      <c r="U577" s="7">
        <f>S577-Q577</f>
        <v/>
      </c>
      <c r="V577" s="1" t="n"/>
      <c r="W577" s="9">
        <f>S577-R577</f>
        <v/>
      </c>
      <c r="X577" s="9" t="n"/>
      <c r="AM577">
        <f>_xlfn.TEXTJOIN(" + ", TRUE, I577:M577)</f>
        <v/>
      </c>
    </row>
    <row r="578">
      <c r="A578" s="23" t="n"/>
      <c r="B578" s="1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7">
        <f>R578-Q578</f>
        <v/>
      </c>
      <c r="U578" s="7">
        <f>S578-Q578</f>
        <v/>
      </c>
      <c r="V578" s="1" t="n"/>
      <c r="W578" s="9">
        <f>S578-R578</f>
        <v/>
      </c>
      <c r="X578" s="9" t="n"/>
      <c r="AM578">
        <f>_xlfn.TEXTJOIN(" + ", TRUE, I578:M578)</f>
        <v/>
      </c>
    </row>
    <row r="579">
      <c r="A579" s="23" t="n"/>
      <c r="B579" s="1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7">
        <f>R579-Q579</f>
        <v/>
      </c>
      <c r="U579" s="7">
        <f>S579-Q579</f>
        <v/>
      </c>
      <c r="V579" s="1" t="n"/>
      <c r="W579" s="9">
        <f>S579-R579</f>
        <v/>
      </c>
      <c r="X579" s="9" t="n"/>
      <c r="AM579">
        <f>_xlfn.TEXTJOIN(" + ", TRUE, I579:M579)</f>
        <v/>
      </c>
    </row>
    <row r="580">
      <c r="A580" s="23" t="n"/>
      <c r="B580" s="1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7">
        <f>R580-Q580</f>
        <v/>
      </c>
      <c r="U580" s="7">
        <f>S580-Q580</f>
        <v/>
      </c>
      <c r="V580" s="1" t="n"/>
      <c r="W580" s="9">
        <f>S580-R580</f>
        <v/>
      </c>
      <c r="X580" s="9" t="n"/>
      <c r="AM580">
        <f>_xlfn.TEXTJOIN(" + ", TRUE, I580:M580)</f>
        <v/>
      </c>
    </row>
    <row r="581">
      <c r="A581" s="23" t="n"/>
      <c r="B581" s="1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7">
        <f>R581-Q581</f>
        <v/>
      </c>
      <c r="U581" s="7">
        <f>S581-Q581</f>
        <v/>
      </c>
      <c r="V581" s="1" t="n"/>
      <c r="W581" s="9">
        <f>S581-R581</f>
        <v/>
      </c>
      <c r="X581" s="9" t="n"/>
      <c r="AM581">
        <f>_xlfn.TEXTJOIN(" + ", TRUE, I581:M581)</f>
        <v/>
      </c>
    </row>
    <row r="582">
      <c r="A582" s="23" t="n"/>
      <c r="B582" s="1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7">
        <f>R582-Q582</f>
        <v/>
      </c>
      <c r="U582" s="7">
        <f>S582-Q582</f>
        <v/>
      </c>
      <c r="V582" s="1" t="n"/>
      <c r="W582" s="9">
        <f>S582-R582</f>
        <v/>
      </c>
      <c r="X582" s="9" t="n"/>
      <c r="AM582">
        <f>_xlfn.TEXTJOIN(" + ", TRUE, I582:M582)</f>
        <v/>
      </c>
    </row>
    <row r="583">
      <c r="A583" s="23" t="n"/>
      <c r="B583" s="1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7">
        <f>R583-Q583</f>
        <v/>
      </c>
      <c r="U583" s="7">
        <f>S583-Q583</f>
        <v/>
      </c>
      <c r="V583" s="1" t="n"/>
      <c r="W583" s="9">
        <f>S583-R583</f>
        <v/>
      </c>
      <c r="X583" s="9" t="n"/>
      <c r="AM583">
        <f>_xlfn.TEXTJOIN(" + ", TRUE, I583:M583)</f>
        <v/>
      </c>
    </row>
    <row r="584">
      <c r="A584" s="23" t="n"/>
      <c r="B584" s="1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7">
        <f>R584-Q584</f>
        <v/>
      </c>
      <c r="U584" s="7">
        <f>S584-Q584</f>
        <v/>
      </c>
      <c r="V584" s="1" t="n"/>
      <c r="W584" s="9">
        <f>S584-R584</f>
        <v/>
      </c>
      <c r="X584" s="9" t="n"/>
      <c r="AM584">
        <f>_xlfn.TEXTJOIN(" + ", TRUE, I584:M584)</f>
        <v/>
      </c>
    </row>
    <row r="585">
      <c r="A585" s="23" t="n"/>
      <c r="B585" s="1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7">
        <f>R585-Q585</f>
        <v/>
      </c>
      <c r="U585" s="7">
        <f>S585-Q585</f>
        <v/>
      </c>
      <c r="V585" s="1" t="n"/>
      <c r="W585" s="9">
        <f>S585-R585</f>
        <v/>
      </c>
      <c r="X585" s="9" t="n"/>
      <c r="AM585">
        <f>_xlfn.TEXTJOIN(" + ", TRUE, I585:M585)</f>
        <v/>
      </c>
    </row>
    <row r="586">
      <c r="A586" s="23" t="n"/>
      <c r="B586" s="1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7">
        <f>R586-Q586</f>
        <v/>
      </c>
      <c r="U586" s="7">
        <f>S586-Q586</f>
        <v/>
      </c>
      <c r="V586" s="1" t="n"/>
      <c r="W586" s="9">
        <f>S586-R586</f>
        <v/>
      </c>
      <c r="X586" s="9" t="n"/>
      <c r="AM586">
        <f>_xlfn.TEXTJOIN(" + ", TRUE, I586:M586)</f>
        <v/>
      </c>
    </row>
    <row r="587">
      <c r="A587" s="23" t="n"/>
      <c r="B587" s="1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7">
        <f>R587-Q587</f>
        <v/>
      </c>
      <c r="U587" s="7">
        <f>S587-Q587</f>
        <v/>
      </c>
      <c r="V587" s="1" t="n"/>
      <c r="W587" s="9">
        <f>S587-R587</f>
        <v/>
      </c>
      <c r="X587" s="9" t="n"/>
      <c r="AM587">
        <f>_xlfn.TEXTJOIN(" + ", TRUE, I587:M587)</f>
        <v/>
      </c>
    </row>
    <row r="588">
      <c r="A588" s="23" t="n"/>
      <c r="B588" s="1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7">
        <f>R588-Q588</f>
        <v/>
      </c>
      <c r="U588" s="7">
        <f>S588-Q588</f>
        <v/>
      </c>
      <c r="V588" s="1" t="n"/>
      <c r="W588" s="9">
        <f>S588-R588</f>
        <v/>
      </c>
      <c r="X588" s="9" t="n"/>
      <c r="AM588">
        <f>_xlfn.TEXTJOIN(" + ", TRUE, I588:M588)</f>
        <v/>
      </c>
    </row>
    <row r="589">
      <c r="A589" s="23" t="n"/>
      <c r="B589" s="1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7">
        <f>R589-Q589</f>
        <v/>
      </c>
      <c r="U589" s="7">
        <f>S589-Q589</f>
        <v/>
      </c>
      <c r="V589" s="1" t="n"/>
      <c r="W589" s="9">
        <f>S589-R589</f>
        <v/>
      </c>
      <c r="X589" s="9" t="n"/>
      <c r="AM589">
        <f>_xlfn.TEXTJOIN(" + ", TRUE, I589:M589)</f>
        <v/>
      </c>
    </row>
    <row r="590">
      <c r="A590" s="23" t="n"/>
      <c r="B590" s="1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7">
        <f>R590-Q590</f>
        <v/>
      </c>
      <c r="U590" s="7">
        <f>S590-Q590</f>
        <v/>
      </c>
      <c r="V590" s="1" t="n"/>
      <c r="W590" s="9">
        <f>S590-R590</f>
        <v/>
      </c>
      <c r="X590" s="9" t="n"/>
      <c r="AM590">
        <f>_xlfn.TEXTJOIN(" + ", TRUE, I590:M590)</f>
        <v/>
      </c>
    </row>
    <row r="591">
      <c r="A591" s="23" t="n"/>
      <c r="B591" s="1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7">
        <f>R591-Q591</f>
        <v/>
      </c>
      <c r="U591" s="7">
        <f>S591-Q591</f>
        <v/>
      </c>
      <c r="V591" s="1" t="n"/>
      <c r="W591" s="9">
        <f>S591-R591</f>
        <v/>
      </c>
      <c r="X591" s="9" t="n"/>
      <c r="AM591">
        <f>_xlfn.TEXTJOIN(" + ", TRUE, I591:M591)</f>
        <v/>
      </c>
    </row>
    <row r="592">
      <c r="A592" s="23" t="n"/>
      <c r="B592" s="1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7">
        <f>R592-Q592</f>
        <v/>
      </c>
      <c r="U592" s="7">
        <f>S592-Q592</f>
        <v/>
      </c>
      <c r="V592" s="1" t="n"/>
      <c r="W592" s="9">
        <f>S592-R592</f>
        <v/>
      </c>
      <c r="X592" s="9" t="n"/>
      <c r="AM592">
        <f>_xlfn.TEXTJOIN(" + ", TRUE, I592:M592)</f>
        <v/>
      </c>
    </row>
    <row r="593">
      <c r="A593" s="23" t="n"/>
      <c r="B593" s="1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7">
        <f>R593-Q593</f>
        <v/>
      </c>
      <c r="U593" s="7">
        <f>S593-Q593</f>
        <v/>
      </c>
      <c r="V593" s="1" t="n"/>
      <c r="W593" s="9">
        <f>S593-R593</f>
        <v/>
      </c>
      <c r="X593" s="9" t="n"/>
      <c r="AM593">
        <f>_xlfn.TEXTJOIN(" + ", TRUE, I593:M593)</f>
        <v/>
      </c>
    </row>
    <row r="594">
      <c r="A594" s="23" t="n"/>
      <c r="B594" s="1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7">
        <f>R594-Q594</f>
        <v/>
      </c>
      <c r="U594" s="7">
        <f>S594-Q594</f>
        <v/>
      </c>
      <c r="V594" s="1" t="n"/>
      <c r="W594" s="9">
        <f>S594-R594</f>
        <v/>
      </c>
      <c r="X594" s="9" t="n"/>
      <c r="AM594">
        <f>_xlfn.TEXTJOIN(" + ", TRUE, I594:M594)</f>
        <v/>
      </c>
    </row>
    <row r="595">
      <c r="A595" s="23" t="n"/>
      <c r="B595" s="1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7">
        <f>R595-Q595</f>
        <v/>
      </c>
      <c r="U595" s="7">
        <f>S595-Q595</f>
        <v/>
      </c>
      <c r="V595" s="1" t="n"/>
      <c r="W595" s="9">
        <f>S595-R595</f>
        <v/>
      </c>
      <c r="X595" s="9" t="n"/>
      <c r="AM595">
        <f>_xlfn.TEXTJOIN(" + ", TRUE, I595:M595)</f>
        <v/>
      </c>
    </row>
    <row r="596">
      <c r="A596" s="23" t="n"/>
      <c r="B596" s="1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7">
        <f>R596-Q596</f>
        <v/>
      </c>
      <c r="U596" s="7">
        <f>S596-Q596</f>
        <v/>
      </c>
      <c r="V596" s="1" t="n"/>
      <c r="W596" s="9">
        <f>S596-R596</f>
        <v/>
      </c>
      <c r="X596" s="9" t="n"/>
      <c r="AM596">
        <f>_xlfn.TEXTJOIN(" + ", TRUE, I596:M596)</f>
        <v/>
      </c>
    </row>
    <row r="597">
      <c r="A597" s="23" t="n"/>
      <c r="B597" s="1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7">
        <f>R597-Q597</f>
        <v/>
      </c>
      <c r="U597" s="7">
        <f>S597-Q597</f>
        <v/>
      </c>
      <c r="V597" s="1" t="n"/>
      <c r="W597" s="9">
        <f>S597-R597</f>
        <v/>
      </c>
      <c r="X597" s="9" t="n"/>
      <c r="AM597">
        <f>_xlfn.TEXTJOIN(" + ", TRUE, I597:M597)</f>
        <v/>
      </c>
    </row>
    <row r="598">
      <c r="A598" s="23" t="n"/>
      <c r="B598" s="1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7">
        <f>R598-Q598</f>
        <v/>
      </c>
      <c r="U598" s="7">
        <f>S598-Q598</f>
        <v/>
      </c>
      <c r="V598" s="1" t="n"/>
      <c r="W598" s="9">
        <f>S598-R598</f>
        <v/>
      </c>
      <c r="X598" s="9" t="n"/>
      <c r="AM598">
        <f>_xlfn.TEXTJOIN(" + ", TRUE, I598:M598)</f>
        <v/>
      </c>
    </row>
    <row r="599">
      <c r="A599" s="23" t="n"/>
      <c r="B599" s="1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7">
        <f>R599-Q599</f>
        <v/>
      </c>
      <c r="U599" s="7">
        <f>S599-Q599</f>
        <v/>
      </c>
      <c r="V599" s="1" t="n"/>
      <c r="W599" s="9">
        <f>S599-R599</f>
        <v/>
      </c>
      <c r="X599" s="9" t="n"/>
      <c r="AM599">
        <f>_xlfn.TEXTJOIN(" + ", TRUE, I599:M599)</f>
        <v/>
      </c>
    </row>
    <row r="600">
      <c r="A600" s="23" t="n"/>
      <c r="B600" s="1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7">
        <f>R600-Q600</f>
        <v/>
      </c>
      <c r="U600" s="7">
        <f>S600-Q600</f>
        <v/>
      </c>
      <c r="V600" s="1" t="n"/>
      <c r="W600" s="9">
        <f>S600-R600</f>
        <v/>
      </c>
      <c r="X600" s="9" t="n"/>
      <c r="AM600">
        <f>_xlfn.TEXTJOIN(" + ", TRUE, I600:M600)</f>
        <v/>
      </c>
    </row>
    <row r="601">
      <c r="A601" s="23" t="n"/>
      <c r="B601" s="1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7">
        <f>R601-Q601</f>
        <v/>
      </c>
      <c r="U601" s="7">
        <f>S601-Q601</f>
        <v/>
      </c>
      <c r="V601" s="1" t="n"/>
      <c r="W601" s="9">
        <f>S601-R601</f>
        <v/>
      </c>
      <c r="X601" s="9" t="n"/>
      <c r="AM601">
        <f>_xlfn.TEXTJOIN(" + ", TRUE, I601:M601)</f>
        <v/>
      </c>
    </row>
    <row r="602">
      <c r="A602" s="23" t="n"/>
      <c r="B602" s="1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7">
        <f>R602-Q602</f>
        <v/>
      </c>
      <c r="U602" s="7">
        <f>S602-Q602</f>
        <v/>
      </c>
      <c r="V602" s="1" t="n"/>
      <c r="W602" s="9">
        <f>S602-R602</f>
        <v/>
      </c>
      <c r="X602" s="9" t="n"/>
      <c r="AM602">
        <f>_xlfn.TEXTJOIN(" + ", TRUE, I602:M602)</f>
        <v/>
      </c>
    </row>
    <row r="603">
      <c r="A603" s="23" t="n"/>
      <c r="B603" s="1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7">
        <f>R603-Q603</f>
        <v/>
      </c>
      <c r="U603" s="7">
        <f>S603-Q603</f>
        <v/>
      </c>
      <c r="V603" s="1" t="n"/>
      <c r="W603" s="9">
        <f>S603-R603</f>
        <v/>
      </c>
      <c r="X603" s="9" t="n"/>
      <c r="AM603">
        <f>_xlfn.TEXTJOIN(" + ", TRUE, I603:M603)</f>
        <v/>
      </c>
    </row>
    <row r="604">
      <c r="A604" s="23" t="n"/>
      <c r="B604" s="1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7">
        <f>R604-Q604</f>
        <v/>
      </c>
      <c r="U604" s="7">
        <f>S604-Q604</f>
        <v/>
      </c>
      <c r="V604" s="1" t="n"/>
      <c r="W604" s="9">
        <f>S604-R604</f>
        <v/>
      </c>
      <c r="X604" s="9" t="n"/>
      <c r="AM604">
        <f>_xlfn.TEXTJOIN(" + ", TRUE, I604:M604)</f>
        <v/>
      </c>
    </row>
    <row r="605">
      <c r="A605" s="23" t="n"/>
      <c r="B605" s="1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7">
        <f>R605-Q605</f>
        <v/>
      </c>
      <c r="U605" s="7">
        <f>S605-Q605</f>
        <v/>
      </c>
      <c r="V605" s="1" t="n"/>
      <c r="W605" s="9">
        <f>S605-R605</f>
        <v/>
      </c>
      <c r="X605" s="9" t="n"/>
      <c r="AM605">
        <f>_xlfn.TEXTJOIN(" + ", TRUE, I605:M605)</f>
        <v/>
      </c>
    </row>
    <row r="606">
      <c r="A606" s="23" t="n"/>
      <c r="B606" s="1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7">
        <f>R606-Q606</f>
        <v/>
      </c>
      <c r="U606" s="7">
        <f>S606-Q606</f>
        <v/>
      </c>
      <c r="V606" s="1" t="n"/>
      <c r="W606" s="9">
        <f>S606-R606</f>
        <v/>
      </c>
      <c r="X606" s="9" t="n"/>
      <c r="AM606">
        <f>_xlfn.TEXTJOIN(" + ", TRUE, I606:M606)</f>
        <v/>
      </c>
    </row>
    <row r="607">
      <c r="A607" s="23" t="n"/>
      <c r="B607" s="1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7">
        <f>R607-Q607</f>
        <v/>
      </c>
      <c r="U607" s="7">
        <f>S607-Q607</f>
        <v/>
      </c>
      <c r="V607" s="1" t="n"/>
      <c r="W607" s="9">
        <f>S607-R607</f>
        <v/>
      </c>
      <c r="X607" s="9" t="n"/>
      <c r="AM607">
        <f>_xlfn.TEXTJOIN(" + ", TRUE, I607:M607)</f>
        <v/>
      </c>
    </row>
    <row r="608">
      <c r="A608" s="23" t="n"/>
      <c r="B608" s="1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7">
        <f>R608-Q608</f>
        <v/>
      </c>
      <c r="U608" s="7">
        <f>S608-Q608</f>
        <v/>
      </c>
      <c r="V608" s="1" t="n"/>
      <c r="W608" s="9">
        <f>S608-R608</f>
        <v/>
      </c>
      <c r="X608" s="9" t="n"/>
      <c r="AM608">
        <f>_xlfn.TEXTJOIN(" + ", TRUE, I608:M608)</f>
        <v/>
      </c>
    </row>
    <row r="609">
      <c r="A609" s="23" t="n"/>
      <c r="B609" s="1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7">
        <f>R609-Q609</f>
        <v/>
      </c>
      <c r="U609" s="7">
        <f>S609-Q609</f>
        <v/>
      </c>
      <c r="V609" s="1" t="n"/>
      <c r="W609" s="9">
        <f>S609-R609</f>
        <v/>
      </c>
      <c r="X609" s="9" t="n"/>
      <c r="AM609">
        <f>_xlfn.TEXTJOIN(" + ", TRUE, I609:M609)</f>
        <v/>
      </c>
    </row>
    <row r="610">
      <c r="A610" s="23" t="n"/>
      <c r="B610" s="1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7">
        <f>R610-Q610</f>
        <v/>
      </c>
      <c r="U610" s="7">
        <f>S610-Q610</f>
        <v/>
      </c>
      <c r="V610" s="1" t="n"/>
      <c r="W610" s="9">
        <f>S610-R610</f>
        <v/>
      </c>
      <c r="X610" s="9" t="n"/>
      <c r="AM610">
        <f>_xlfn.TEXTJOIN(" + ", TRUE, I610:M610)</f>
        <v/>
      </c>
    </row>
    <row r="611">
      <c r="A611" s="23" t="n"/>
      <c r="B611" s="1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7">
        <f>R611-Q611</f>
        <v/>
      </c>
      <c r="U611" s="7">
        <f>S611-Q611</f>
        <v/>
      </c>
      <c r="V611" s="1" t="n"/>
      <c r="W611" s="9">
        <f>S611-R611</f>
        <v/>
      </c>
      <c r="X611" s="9" t="n"/>
      <c r="AM611">
        <f>_xlfn.TEXTJOIN(" + ", TRUE, I611:M611)</f>
        <v/>
      </c>
    </row>
    <row r="612">
      <c r="A612" s="23" t="n"/>
      <c r="B612" s="1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7">
        <f>R612-Q612</f>
        <v/>
      </c>
      <c r="U612" s="7">
        <f>S612-Q612</f>
        <v/>
      </c>
      <c r="V612" s="1" t="n"/>
      <c r="W612" s="9">
        <f>S612-R612</f>
        <v/>
      </c>
      <c r="X612" s="9" t="n"/>
      <c r="AM612">
        <f>_xlfn.TEXTJOIN(" + ", TRUE, I612:M612)</f>
        <v/>
      </c>
    </row>
    <row r="613">
      <c r="A613" s="23" t="n"/>
      <c r="B613" s="1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7">
        <f>R613-Q613</f>
        <v/>
      </c>
      <c r="U613" s="7">
        <f>S613-Q613</f>
        <v/>
      </c>
      <c r="V613" s="1" t="n"/>
      <c r="W613" s="9">
        <f>S613-R613</f>
        <v/>
      </c>
      <c r="X613" s="9" t="n"/>
      <c r="AM613">
        <f>_xlfn.TEXTJOIN(" + ", TRUE, I613:M613)</f>
        <v/>
      </c>
    </row>
    <row r="614">
      <c r="A614" s="1" t="n"/>
      <c r="B614" s="23" t="inlineStr">
        <is>
          <t>Total</t>
        </is>
      </c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4" t="n"/>
      <c r="U614" s="6" t="n"/>
      <c r="V614" s="1" t="n"/>
    </row>
  </sheetData>
  <mergeCells count="41">
    <mergeCell ref="AD21:AE21"/>
    <mergeCell ref="Z25:AE25"/>
    <mergeCell ref="AD17:AE17"/>
    <mergeCell ref="AB15:AC15"/>
    <mergeCell ref="B7:C7"/>
    <mergeCell ref="C3:S3"/>
    <mergeCell ref="D9:S9"/>
    <mergeCell ref="AB14:AC14"/>
    <mergeCell ref="AD14:AE14"/>
    <mergeCell ref="D8:S8"/>
    <mergeCell ref="B614:T614"/>
    <mergeCell ref="AC29:AE29"/>
    <mergeCell ref="B11:C11"/>
    <mergeCell ref="Z29:AB29"/>
    <mergeCell ref="C4:S4"/>
    <mergeCell ref="AD15:AE15"/>
    <mergeCell ref="Z22:AA22"/>
    <mergeCell ref="AB22:AC22"/>
    <mergeCell ref="B8:C8"/>
    <mergeCell ref="Z18:AA18"/>
    <mergeCell ref="Z21:AA21"/>
    <mergeCell ref="B6:S6"/>
    <mergeCell ref="D10:S10"/>
    <mergeCell ref="AB21:AC21"/>
    <mergeCell ref="Z28:AB28"/>
    <mergeCell ref="Z17:AA17"/>
    <mergeCell ref="Z24:AE24"/>
    <mergeCell ref="B10:C10"/>
    <mergeCell ref="C2:S2"/>
    <mergeCell ref="Z31:AE31"/>
    <mergeCell ref="Z14:AA14"/>
    <mergeCell ref="B9:C9"/>
    <mergeCell ref="AB17:AC17"/>
    <mergeCell ref="D11:S11"/>
    <mergeCell ref="AD22:AE22"/>
    <mergeCell ref="AC28:AE28"/>
    <mergeCell ref="Z32:AE32"/>
    <mergeCell ref="Z15:AA15"/>
    <mergeCell ref="D7:S7"/>
    <mergeCell ref="AB18:AC18"/>
    <mergeCell ref="AD18:AE18"/>
  </mergeCells>
  <dataValidations count="5">
    <dataValidation sqref="V14:V613" showDropDown="0" showInputMessage="1" showErrorMessage="1" allowBlank="1" type="list">
      <formula1>$AI$7:$AI$8</formula1>
    </dataValidation>
    <dataValidation sqref="G14:G613" showDropDown="0" showInputMessage="1" showErrorMessage="1" allowBlank="1" type="list">
      <formula1>$AL$7:$AL$9</formula1>
    </dataValidation>
    <dataValidation sqref="D14:D613" showDropDown="0" showInputMessage="1" showErrorMessage="1" allowBlank="1" type="list">
      <formula1>$AK$7:$AK$13</formula1>
    </dataValidation>
    <dataValidation sqref="H14:H613" showDropDown="0" showInputMessage="1" showErrorMessage="1" allowBlank="1" type="list">
      <formula1>$AH$7:$AH$15</formula1>
    </dataValidation>
    <dataValidation sqref="I14:M613" showDropDown="0" showInputMessage="1" showErrorMessage="1" allowBlank="1" type="list">
      <formula1>$AJ$7:$AJ$280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R4204"/>
  <sheetViews>
    <sheetView zoomScale="70" zoomScaleNormal="70" workbookViewId="0">
      <selection activeCell="B21" sqref="B21"/>
    </sheetView>
  </sheetViews>
  <sheetFormatPr baseColWidth="10" defaultRowHeight="15"/>
  <cols>
    <col width="120.140625" customWidth="1" min="2" max="2"/>
    <col width="16.42578125" customWidth="1" style="17" min="3" max="3"/>
    <col width="18.28515625" bestFit="1" customWidth="1" min="4" max="4"/>
    <col width="31.42578125" customWidth="1" min="5" max="5"/>
    <col width="14.42578125" customWidth="1" min="6" max="6"/>
    <col width="13" customWidth="1" min="7" max="7"/>
    <col width="13.42578125" customWidth="1" min="8" max="8"/>
    <col width="14.28515625" customWidth="1" min="9" max="9"/>
    <col width="12.7109375" customWidth="1" min="10" max="10"/>
    <col width="13.7109375" customWidth="1" min="12" max="12"/>
    <col width="11.42578125" customWidth="1" min="13" max="14"/>
    <col hidden="1" width="11.42578125" customWidth="1" min="17" max="18"/>
  </cols>
  <sheetData>
    <row r="2">
      <c r="C2" s="47" t="inlineStr">
        <is>
          <t>MINISTERIO DE SALUD PÚBLICA Y ASISTENCIA SOCIAL</t>
        </is>
      </c>
    </row>
    <row r="3">
      <c r="C3" s="47">
        <f>'Q1'!C3</f>
        <v/>
      </c>
    </row>
    <row r="4">
      <c r="C4" s="47" t="inlineStr">
        <is>
          <t>Resumen Mensual</t>
        </is>
      </c>
      <c r="Q4" s="66" t="n">
        <v>1</v>
      </c>
      <c r="R4">
        <f>'Q1'!AM14</f>
        <v/>
      </c>
    </row>
    <row r="5">
      <c r="R5">
        <f>'Q1'!AM15</f>
        <v/>
      </c>
    </row>
    <row r="6">
      <c r="R6">
        <f>'Q1'!AM16</f>
        <v/>
      </c>
    </row>
    <row r="7">
      <c r="A7" s="23" t="inlineStr">
        <is>
          <t>Cantidad</t>
        </is>
      </c>
      <c r="B7" s="23" t="inlineStr">
        <is>
          <t>Intervención</t>
        </is>
      </c>
      <c r="C7" s="23" t="inlineStr">
        <is>
          <t>Tiempo Promedio</t>
        </is>
      </c>
      <c r="E7" s="58" t="inlineStr">
        <is>
          <t>% de Uso Periodo</t>
        </is>
      </c>
      <c r="F7" s="64" t="n"/>
      <c r="G7" s="58" t="inlineStr">
        <is>
          <t>Tasa de Cancelación</t>
        </is>
      </c>
      <c r="H7" s="64" t="n"/>
      <c r="R7">
        <f>'Q1'!AM17</f>
        <v/>
      </c>
    </row>
    <row r="8">
      <c r="A8" s="1">
        <f>IF(B8="","",COUNTIF($R$4:$R$1203,B8))</f>
        <v/>
      </c>
      <c r="B8" s="1">
        <f t="array" ref="B8">_xlfn.UNIQUE(_xlfn._xlws.FILTER($R$4:$R$1203,($R$4:$R$1203&lt;&gt;"")*($R$4:$R$1203&lt;&gt;0)))</f>
        <v/>
      </c>
      <c r="C8" s="18">
        <f>IFERROR(
(
SUMIF('Q1'!$AM$14:$AM$613,B8,'Q1'!$T$14:$T$613)
+SUMIF('Q2'!$AM$14:$AM$613,B8,'Q2'!$T$14:$T$613)
)
/A8,"")</f>
        <v/>
      </c>
      <c r="E8" s="67">
        <f>IFERROR(
(
SUMIF('Q1'!V14:V613,"Finalizada",'Q1'!U14:U613)
+SUMIF('Q2'!V14:V613,"Finalizada",'Q2'!U14:U613)
)
/
(
'Q1'!Z18+'Q2'!Z18
),0)</f>
        <v/>
      </c>
      <c r="F8" s="64" t="n"/>
      <c r="G8" s="60">
        <f>IFERROR(
(
COUNTIF('Q1'!V14:V613,"Cancelada")
+COUNTIF('Q2'!V14:V613,"Cancelada")
)
/
(
COUNTIF('Q1'!V14:V613,"Finalizada")+COUNTIF('Q1'!V14:V613,"Cancelada")+COUNTIF('Q1'!V14:V613,"Reprogramada")
+COUNTIF('Q2'!V14:V613,"Finalizada")+COUNTIF('Q2'!V14:V613,"Cancelada")+COUNTIF('Q2'!V14:V613,"Reprogramada")
),0)</f>
        <v/>
      </c>
      <c r="H8" s="64" t="n"/>
      <c r="R8">
        <f>'Q1'!AM18</f>
        <v/>
      </c>
    </row>
    <row r="9">
      <c r="A9" s="1">
        <f>IF(B9="","",COUNTIF($R$4:$R$4803,B9))</f>
        <v/>
      </c>
      <c r="B9" s="1" t="n"/>
      <c r="C9" s="18">
        <f>IFERROR(
(
SUMIF('Q1'!$AM$14:$AM$613,B9,'Q1'!$T$14:$T$613)
+SUMIF('Q2'!$AM$14:$AM$613,B9,'Q2'!$T$14:$T$613)
)
/A9,"")</f>
        <v/>
      </c>
      <c r="R9">
        <f>'Q1'!AM19</f>
        <v/>
      </c>
    </row>
    <row r="10">
      <c r="A10" s="1">
        <f>IF(B10="","",COUNTIF($R$4:$R$4803,B10))</f>
        <v/>
      </c>
      <c r="B10" s="1" t="n"/>
      <c r="C10" s="18">
        <f>IFERROR(
(
SUMIF('Q1'!$AM$14:$AM$613,B10,'Q1'!$T$14:$T$613)
+SUMIF('Q2'!$AM$14:$AM$613,B10,'Q2'!$T$14:$T$613)
)
/A10,"")</f>
        <v/>
      </c>
      <c r="E10" s="61" t="inlineStr">
        <is>
          <t>Finalizadas</t>
        </is>
      </c>
      <c r="F10" s="64" t="n"/>
      <c r="G10" s="62" t="inlineStr">
        <is>
          <t>Canceladas</t>
        </is>
      </c>
      <c r="H10" s="64" t="n"/>
      <c r="I10" s="55" t="n"/>
      <c r="R10">
        <f>'Q1'!AM20</f>
        <v/>
      </c>
    </row>
    <row r="11">
      <c r="A11" s="1">
        <f>IF(B11="","",COUNTIF($R$4:$R$4803,B11))</f>
        <v/>
      </c>
      <c r="B11" s="1" t="n"/>
      <c r="C11" s="18">
        <f>IFERROR(
(
SUMIF('Q1'!$AM$14:$AM$613,B11,'Q1'!$T$14:$T$613)
+SUMIF('Q2'!$AM$14:$AM$613,B11,'Q2'!$T$14:$T$613)
)
/A11,"")</f>
        <v/>
      </c>
      <c r="E11" s="54">
        <f>'Q1'!Z22+'Q2'!Z22</f>
        <v/>
      </c>
      <c r="F11" s="64" t="n"/>
      <c r="G11" s="54">
        <f>'Q1'!AB22+'Q2'!AB22</f>
        <v/>
      </c>
      <c r="H11" s="64" t="n"/>
      <c r="I11" s="55" t="n"/>
      <c r="R11">
        <f>'Q1'!AM21</f>
        <v/>
      </c>
    </row>
    <row r="12">
      <c r="A12" s="1">
        <f>IF(B12="","",COUNTIF($R$4:$R$4803,B12))</f>
        <v/>
      </c>
      <c r="B12" s="1" t="n"/>
      <c r="C12" s="18">
        <f>IFERROR(
(
SUMIF('Q1'!$AM$14:$AM$613,B12,'Q1'!$T$14:$T$613)
+SUMIF('Q2'!$AM$14:$AM$613,B12,'Q2'!$T$14:$T$613)
)
/A12,"")</f>
        <v/>
      </c>
      <c r="R12">
        <f>'Q1'!AM22</f>
        <v/>
      </c>
    </row>
    <row r="13">
      <c r="A13" s="1">
        <f>IF(B13="","",COUNTIF($R$4:$R$4803,B13))</f>
        <v/>
      </c>
      <c r="B13" s="1" t="n"/>
      <c r="C13" s="18">
        <f>IFERROR(
(
SUMIF('Q1'!$AM$14:$AM$613,B13,'Q1'!$T$14:$T$613)
+SUMIF('Q2'!$AM$14:$AM$613,B13,'Q2'!$T$14:$T$613)
)
/A13,"")</f>
        <v/>
      </c>
      <c r="E13" s="56" t="inlineStr">
        <is>
          <t>Total</t>
        </is>
      </c>
      <c r="F13" s="63" t="n"/>
      <c r="G13" s="63" t="n"/>
      <c r="H13" s="63" t="n"/>
      <c r="I13" s="63" t="n"/>
      <c r="J13" s="64" t="n"/>
      <c r="R13">
        <f>'Q1'!AM23</f>
        <v/>
      </c>
    </row>
    <row r="14">
      <c r="A14" s="1">
        <f>IF(B14="","",COUNTIF($R$4:$R$4803,B14))</f>
        <v/>
      </c>
      <c r="B14" s="1" t="n"/>
      <c r="C14" s="18">
        <f>IFERROR(
(
SUMIF('Q1'!$AM$14:$AM$613,B14,'Q1'!$T$14:$T$613)
+SUMIF('Q2'!$AM$14:$AM$613,B14,'Q2'!$T$14:$T$613)
)
/A14,"")</f>
        <v/>
      </c>
      <c r="E14" s="23">
        <f>E11+G11+I11</f>
        <v/>
      </c>
      <c r="F14" s="63" t="n"/>
      <c r="G14" s="63" t="n"/>
      <c r="H14" s="63" t="n"/>
      <c r="I14" s="63" t="n"/>
      <c r="J14" s="64" t="n"/>
      <c r="R14">
        <f>'Q1'!AM24</f>
        <v/>
      </c>
    </row>
    <row r="15">
      <c r="A15" s="1">
        <f>IF(B15="","",COUNTIF($R$4:$R$4803,B15))</f>
        <v/>
      </c>
      <c r="B15" s="1" t="n"/>
      <c r="C15" s="18">
        <f>IFERROR(
(
SUMIF('Q1'!$AM$14:$AM$613,B15,'Q1'!$T$14:$T$613)
+SUMIF('Q2'!$AM$14:$AM$613,B15,'Q2'!$T$14:$T$613)
)
/A15,"")</f>
        <v/>
      </c>
      <c r="R15">
        <f>'Q1'!AM25</f>
        <v/>
      </c>
    </row>
    <row r="16" ht="15.75" customHeight="1">
      <c r="A16" s="1">
        <f>IF(B16="","",COUNTIF($R$4:$R$4803,B16))</f>
        <v/>
      </c>
      <c r="B16" s="1" t="n"/>
      <c r="C16" s="18">
        <f>IFERROR(
(
SUMIF('Q1'!$AM$14:$AM$613,B16,'Q1'!$T$14:$T$613)
+SUMIF('Q2'!$AM$14:$AM$613,B16,'Q2'!$T$14:$T$613)
)
/A16,"")</f>
        <v/>
      </c>
      <c r="E16" s="41" t="inlineStr">
        <is>
          <t>Tiempo Promedio Intervención General</t>
        </is>
      </c>
      <c r="F16" s="63" t="n"/>
      <c r="G16" s="63" t="n"/>
      <c r="H16" s="63" t="n"/>
      <c r="I16" s="63" t="n"/>
      <c r="J16" s="64" t="n"/>
      <c r="R16">
        <f>'Q1'!AM26</f>
        <v/>
      </c>
    </row>
    <row r="17" ht="15.75" customHeight="1">
      <c r="A17" s="1">
        <f>IF(B17="","",COUNTIF($R$4:$R$4803,B17))</f>
        <v/>
      </c>
      <c r="B17" s="1" t="n"/>
      <c r="C17" s="18">
        <f>IFERROR(
(
SUMIF('Q1'!$AM$14:$AM$613,B17,'Q1'!$T$14:$T$613)
+SUMIF('Q2'!$AM$14:$AM$613,B17,'Q2'!$T$14:$T$613)
)
/A17,"")</f>
        <v/>
      </c>
      <c r="E17" s="35">
        <f>AVERAGEIF(C8:C500,"&gt;0")</f>
        <v/>
      </c>
      <c r="F17" s="63" t="n"/>
      <c r="G17" s="63" t="n"/>
      <c r="H17" s="63" t="n"/>
      <c r="I17" s="63" t="n"/>
      <c r="J17" s="64" t="n"/>
      <c r="R17">
        <f>'Q1'!AM27</f>
        <v/>
      </c>
    </row>
    <row r="18">
      <c r="A18" s="1">
        <f>IF(B18="","",COUNTIF($R$4:$R$4803,B18))</f>
        <v/>
      </c>
      <c r="B18" s="1" t="n"/>
      <c r="C18" s="18">
        <f>IFERROR(
(
SUMIF('Q1'!$AM$14:$AM$613,B18,'Q1'!$T$14:$T$613)
+SUMIF('Q2'!$AM$14:$AM$613,B18,'Q2'!$T$14:$T$613)
)
/A18,"")</f>
        <v/>
      </c>
      <c r="R18">
        <f>'Q1'!AM28</f>
        <v/>
      </c>
    </row>
    <row r="19">
      <c r="A19" s="1">
        <f>IF(B19="","",COUNTIF($R$4:$R$4803,B19))</f>
        <v/>
      </c>
      <c r="B19" s="1" t="n"/>
      <c r="C19" s="18">
        <f>IFERROR(
(
SUMIF('Q1'!$AM$14:$AM$613,B19,'Q1'!$T$14:$T$613)
+SUMIF('Q2'!$AM$14:$AM$613,B19,'Q2'!$T$14:$T$613)
)
/A19,"")</f>
        <v/>
      </c>
      <c r="R19">
        <f>'Q1'!AM29</f>
        <v/>
      </c>
    </row>
    <row r="20">
      <c r="A20" s="1">
        <f>IF(B20="","",COUNTIF($R$4:$R$4803,B20))</f>
        <v/>
      </c>
      <c r="B20" s="1" t="n"/>
      <c r="C20" s="18">
        <f>IFERROR(
(
SUMIF('Q1'!$AM$14:$AM$613,B20,'Q1'!$T$14:$T$613)
+SUMIF('Q2'!$AM$14:$AM$613,B20,'Q2'!$T$14:$T$613)
)
/A20,"")</f>
        <v/>
      </c>
      <c r="R20">
        <f>'Q1'!AM30</f>
        <v/>
      </c>
    </row>
    <row r="21" ht="15.75" customHeight="1">
      <c r="A21" s="1">
        <f>IF(B21="","",COUNTIF($R$4:$R$4803,B21))</f>
        <v/>
      </c>
      <c r="B21" s="1" t="n"/>
      <c r="C21" s="18">
        <f>IFERROR(
(
SUMIF('Q1'!$AM$14:$AM$613,B21,'Q1'!$T$14:$T$613)
+SUMIF('Q2'!$AM$14:$AM$613,B21,'Q2'!$T$14:$T$613)
)
/A21,"")</f>
        <v/>
      </c>
      <c r="H21" s="12" t="n"/>
      <c r="I21" s="12" t="n"/>
      <c r="J21" s="12" t="n"/>
      <c r="R21">
        <f>'Q1'!AM31</f>
        <v/>
      </c>
    </row>
    <row r="22" ht="15.75" customHeight="1">
      <c r="A22" s="1">
        <f>IF(B22="","",COUNTIF($R$4:$R$4803,B22))</f>
        <v/>
      </c>
      <c r="B22" s="1" t="n"/>
      <c r="C22" s="18">
        <f>IFERROR(
(
SUMIF('Q1'!$AM$14:$AM$613,B22,'Q1'!$T$14:$T$613)
+SUMIF('Q2'!$AM$14:$AM$613,B22,'Q2'!$T$14:$T$613)
)
/A22,"")</f>
        <v/>
      </c>
      <c r="H22" s="11" t="n"/>
      <c r="I22" s="11" t="n"/>
      <c r="J22" s="11" t="n"/>
      <c r="R22">
        <f>'Q1'!AM32</f>
        <v/>
      </c>
    </row>
    <row r="23">
      <c r="A23" s="1">
        <f>IF(B23="","",COUNTIF($R$4:$R$4803,B23))</f>
        <v/>
      </c>
      <c r="B23" s="1" t="n"/>
      <c r="C23" s="18">
        <f>IFERROR(
(
SUMIF('Q1'!$AM$14:$AM$613,B23,'Q1'!$T$14:$T$613)
+SUMIF('Q2'!$AM$14:$AM$613,B23,'Q2'!$T$14:$T$613)
)
/A23,"")</f>
        <v/>
      </c>
      <c r="R23">
        <f>'Q1'!AM33</f>
        <v/>
      </c>
    </row>
    <row r="24" ht="15.75" customHeight="1">
      <c r="A24" s="1">
        <f>IF(B24="","",COUNTIF($R$4:$R$4803,B24))</f>
        <v/>
      </c>
      <c r="B24" s="1" t="n"/>
      <c r="C24" s="18">
        <f>IFERROR(
(
SUMIF('Q1'!$AM$14:$AM$613,B24,'Q1'!$T$14:$T$613)
+SUMIF('Q2'!$AM$14:$AM$613,B24,'Q2'!$T$14:$T$613)
)
/A24,"")</f>
        <v/>
      </c>
      <c r="E24" s="12" t="n"/>
      <c r="F24" s="12" t="n"/>
      <c r="G24" s="12" t="n"/>
      <c r="H24" s="12" t="n"/>
      <c r="I24" s="12" t="n"/>
      <c r="J24" s="12" t="n"/>
      <c r="R24">
        <f>'Q1'!AM34</f>
        <v/>
      </c>
    </row>
    <row r="25" ht="15.75" customHeight="1">
      <c r="A25" s="1">
        <f>IF(B25="","",COUNTIF($R$4:$R$4803,B25))</f>
        <v/>
      </c>
      <c r="B25" s="1" t="n"/>
      <c r="C25" s="18">
        <f>IFERROR(
(
SUMIF('Q1'!$AM$14:$AM$613,B25,'Q1'!$T$14:$T$613)
+SUMIF('Q2'!$AM$14:$AM$613,B25,'Q2'!$T$14:$T$613)
)
/A25,"")</f>
        <v/>
      </c>
      <c r="E25" s="11" t="n"/>
      <c r="F25" s="11" t="n"/>
      <c r="G25" s="11" t="n"/>
      <c r="H25" s="11" t="n"/>
      <c r="I25" s="11" t="n"/>
      <c r="J25" s="11" t="n"/>
      <c r="R25">
        <f>'Q1'!AM35</f>
        <v/>
      </c>
    </row>
    <row r="26">
      <c r="A26" s="1">
        <f>IF(B26="","",COUNTIF($R$4:$R$4803,B26))</f>
        <v/>
      </c>
      <c r="B26" s="1" t="n"/>
      <c r="C26" s="18">
        <f>IFERROR(
(
SUMIF('Q1'!$AM$14:$AM$613,B26,'Q1'!$T$14:$T$613)
+SUMIF('Q2'!$AM$14:$AM$613,B26,'Q2'!$T$14:$T$613)
)
/A26,"")</f>
        <v/>
      </c>
      <c r="R26">
        <f>'Q1'!AM36</f>
        <v/>
      </c>
    </row>
    <row r="27">
      <c r="A27" s="1">
        <f>IF(B27="","",COUNTIF($R$4:$R$4803,B27))</f>
        <v/>
      </c>
      <c r="B27" s="1" t="n"/>
      <c r="C27" s="18">
        <f>IFERROR(
(
SUMIF('Q1'!$AM$14:$AM$613,B27,'Q1'!$T$14:$T$613)
+SUMIF('Q2'!$AM$14:$AM$613,B27,'Q2'!$T$14:$T$613)
)
/A27,"")</f>
        <v/>
      </c>
      <c r="R27">
        <f>'Q1'!AM37</f>
        <v/>
      </c>
    </row>
    <row r="28">
      <c r="A28" s="1">
        <f>IF(B28="","",COUNTIF($R$4:$R$4803,B28))</f>
        <v/>
      </c>
      <c r="B28" s="1" t="n"/>
      <c r="C28" s="18">
        <f>IFERROR(
(
SUMIF('Q1'!$AM$14:$AM$613,B28,'Q1'!$T$14:$T$613)
+SUMIF('Q2'!$AM$14:$AM$613,B28,'Q2'!$T$14:$T$613)
)
/A28,"")</f>
        <v/>
      </c>
      <c r="R28">
        <f>'Q1'!AM38</f>
        <v/>
      </c>
    </row>
    <row r="29">
      <c r="A29" s="1">
        <f>IF(B29="","",COUNTIF($R$4:$R$4803,B29))</f>
        <v/>
      </c>
      <c r="B29" s="1" t="n"/>
      <c r="C29" s="18">
        <f>IFERROR(
(
SUMIF('Q1'!$AM$14:$AM$613,B29,'Q1'!$T$14:$T$613)
+SUMIF('Q2'!$AM$14:$AM$613,B29,'Q2'!$T$14:$T$613)
)
/A29,"")</f>
        <v/>
      </c>
      <c r="R29">
        <f>'Q1'!AM39</f>
        <v/>
      </c>
    </row>
    <row r="30">
      <c r="A30" s="1">
        <f>IF(B30="","",COUNTIF($R$4:$R$4803,B30))</f>
        <v/>
      </c>
      <c r="B30" s="1" t="n"/>
      <c r="C30" s="18">
        <f>IFERROR(
(
SUMIF('Q1'!$AM$14:$AM$613,B30,'Q1'!$T$14:$T$613)
+SUMIF('Q2'!$AM$14:$AM$613,B30,'Q2'!$T$14:$T$613)
)
/A30,"")</f>
        <v/>
      </c>
      <c r="R30">
        <f>'Q1'!AM40</f>
        <v/>
      </c>
    </row>
    <row r="31">
      <c r="A31" s="1">
        <f>IF(B31="","",COUNTIF($R$4:$R$4803,B31))</f>
        <v/>
      </c>
      <c r="B31" s="1" t="n"/>
      <c r="C31" s="18">
        <f>IFERROR(
(
SUMIF('Q1'!$AM$14:$AM$613,B31,'Q1'!$T$14:$T$613)
+SUMIF('Q2'!$AM$14:$AM$613,B31,'Q2'!$T$14:$T$613)
)
/A31,"")</f>
        <v/>
      </c>
      <c r="R31">
        <f>'Q1'!AM41</f>
        <v/>
      </c>
    </row>
    <row r="32">
      <c r="A32" s="1">
        <f>IF(B32="","",COUNTIF($R$4:$R$4803,B32))</f>
        <v/>
      </c>
      <c r="B32" s="1" t="n"/>
      <c r="C32" s="18">
        <f>IFERROR(
(
SUMIF('Q1'!$AM$14:$AM$613,B32,'Q1'!$T$14:$T$613)
+SUMIF('Q2'!$AM$14:$AM$613,B32,'Q2'!$T$14:$T$613)
)
/A32,"")</f>
        <v/>
      </c>
      <c r="R32">
        <f>'Q1'!AM42</f>
        <v/>
      </c>
    </row>
    <row r="33">
      <c r="A33" s="1">
        <f>IF(B33="","",COUNTIF($R$4:$R$4803,B33))</f>
        <v/>
      </c>
      <c r="B33" s="1" t="n"/>
      <c r="C33" s="18">
        <f>IFERROR(
(
SUMIF('Q1'!$AM$14:$AM$613,B33,'Q1'!$T$14:$T$613)
+SUMIF('Q2'!$AM$14:$AM$613,B33,'Q2'!$T$14:$T$613)
)
/A33,"")</f>
        <v/>
      </c>
      <c r="R33">
        <f>'Q1'!AM43</f>
        <v/>
      </c>
    </row>
    <row r="34">
      <c r="A34" s="1">
        <f>IF(B34="","",COUNTIF($R$4:$R$4803,B34))</f>
        <v/>
      </c>
      <c r="B34" s="1" t="n"/>
      <c r="C34" s="18">
        <f>IFERROR(
(
SUMIF('Q1'!$AM$14:$AM$613,B34,'Q1'!$T$14:$T$613)
+SUMIF('Q2'!$AM$14:$AM$613,B34,'Q2'!$T$14:$T$613)
)
/A34,"")</f>
        <v/>
      </c>
      <c r="R34">
        <f>'Q1'!AM44</f>
        <v/>
      </c>
    </row>
    <row r="35">
      <c r="A35" s="1">
        <f>IF(B35="","",COUNTIF($R$4:$R$4803,B35))</f>
        <v/>
      </c>
      <c r="B35" s="1" t="n"/>
      <c r="C35" s="18">
        <f>IFERROR(
(
SUMIF('Q1'!$AM$14:$AM$613,B35,'Q1'!$T$14:$T$613)
+SUMIF('Q2'!$AM$14:$AM$613,B35,'Q2'!$T$14:$T$613)
)
/A35,"")</f>
        <v/>
      </c>
      <c r="R35">
        <f>'Q1'!AM45</f>
        <v/>
      </c>
    </row>
    <row r="36">
      <c r="A36" s="1">
        <f>IF(B36="","",COUNTIF($R$4:$R$4803,B36))</f>
        <v/>
      </c>
      <c r="B36" s="1" t="n"/>
      <c r="C36" s="18">
        <f>IFERROR(
(
SUMIF('Q1'!$AM$14:$AM$613,B36,'Q1'!$T$14:$T$613)
+SUMIF('Q2'!$AM$14:$AM$613,B36,'Q2'!$T$14:$T$613)
)
/A36,"")</f>
        <v/>
      </c>
      <c r="R36">
        <f>'Q1'!AM46</f>
        <v/>
      </c>
    </row>
    <row r="37">
      <c r="A37" s="1">
        <f>IF(B37="","",COUNTIF($R$4:$R$4803,B37))</f>
        <v/>
      </c>
      <c r="B37" s="1" t="n"/>
      <c r="C37" s="18">
        <f>IFERROR(
(
SUMIF('Q1'!$AM$14:$AM$613,B37,'Q1'!$T$14:$T$613)
+SUMIF('Q2'!$AM$14:$AM$613,B37,'Q2'!$T$14:$T$613)
)
/A37,"")</f>
        <v/>
      </c>
      <c r="R37">
        <f>'Q1'!AM47</f>
        <v/>
      </c>
    </row>
    <row r="38">
      <c r="A38" s="1">
        <f>IF(B38="","",COUNTIF($R$4:$R$4803,B38))</f>
        <v/>
      </c>
      <c r="B38" s="1" t="n"/>
      <c r="C38" s="18">
        <f>IFERROR(
(
SUMIF('Q1'!$AM$14:$AM$613,B38,'Q1'!$T$14:$T$613)
+SUMIF('Q2'!$AM$14:$AM$613,B38,'Q2'!$T$14:$T$613)
)
/A38,"")</f>
        <v/>
      </c>
      <c r="R38">
        <f>'Q1'!AM48</f>
        <v/>
      </c>
    </row>
    <row r="39">
      <c r="A39" s="1">
        <f>IF(B39="","",COUNTIF($R$4:$R$4803,B39))</f>
        <v/>
      </c>
      <c r="B39" s="1" t="n"/>
      <c r="C39" s="18">
        <f>IFERROR(
(
SUMIF('Q1'!$AM$14:$AM$613,B39,'Q1'!$T$14:$T$613)
+SUMIF('Q2'!$AM$14:$AM$613,B39,'Q2'!$T$14:$T$613)
)
/A39,"")</f>
        <v/>
      </c>
      <c r="R39">
        <f>'Q1'!AM49</f>
        <v/>
      </c>
    </row>
    <row r="40">
      <c r="A40" s="1">
        <f>IF(B40="","",COUNTIF($R$4:$R$4803,B40))</f>
        <v/>
      </c>
      <c r="B40" s="1" t="n"/>
      <c r="C40" s="18">
        <f>IFERROR(
(
SUMIF('Q1'!$AM$14:$AM$613,B40,'Q1'!$T$14:$T$613)
+SUMIF('Q2'!$AM$14:$AM$613,B40,'Q2'!$T$14:$T$613)
)
/A40,"")</f>
        <v/>
      </c>
      <c r="R40">
        <f>'Q1'!AM50</f>
        <v/>
      </c>
    </row>
    <row r="41">
      <c r="A41" s="1">
        <f>IF(B41="","",COUNTIF($R$4:$R$4803,B41))</f>
        <v/>
      </c>
      <c r="B41" s="1" t="n"/>
      <c r="C41" s="18">
        <f>IFERROR(
(
SUMIF('Q1'!$AM$14:$AM$613,B41,'Q1'!$T$14:$T$613)
+SUMIF('Q2'!$AM$14:$AM$613,B41,'Q2'!$T$14:$T$613)
)
/A41,"")</f>
        <v/>
      </c>
      <c r="R41">
        <f>'Q1'!AM51</f>
        <v/>
      </c>
    </row>
    <row r="42">
      <c r="A42" s="1">
        <f>IF(B42="","",COUNTIF($R$4:$R$4803,B42))</f>
        <v/>
      </c>
      <c r="B42" s="1" t="n"/>
      <c r="C42" s="18">
        <f>IFERROR(
(
SUMIF('Q1'!$AM$14:$AM$613,B42,'Q1'!$T$14:$T$613)
+SUMIF('Q2'!$AM$14:$AM$613,B42,'Q2'!$T$14:$T$613)
)
/A42,"")</f>
        <v/>
      </c>
      <c r="R42">
        <f>'Q1'!AM52</f>
        <v/>
      </c>
    </row>
    <row r="43">
      <c r="A43" s="1">
        <f>IF(B43="","",COUNTIF($R$4:$R$4803,B43))</f>
        <v/>
      </c>
      <c r="B43" s="1" t="n"/>
      <c r="C43" s="18">
        <f>IFERROR(
(
SUMIF('Q1'!$AM$14:$AM$613,B43,'Q1'!$T$14:$T$613)
+SUMIF('Q2'!$AM$14:$AM$613,B43,'Q2'!$T$14:$T$613)
)
/A43,"")</f>
        <v/>
      </c>
      <c r="R43">
        <f>'Q1'!AM53</f>
        <v/>
      </c>
    </row>
    <row r="44">
      <c r="A44" s="1">
        <f>IF(B44="","",COUNTIF($R$4:$R$4803,B44))</f>
        <v/>
      </c>
      <c r="B44" s="1" t="n"/>
      <c r="C44" s="18">
        <f>IFERROR(
(
SUMIF('Q1'!$AM$14:$AM$613,B44,'Q1'!$T$14:$T$613)
+SUMIF('Q2'!$AM$14:$AM$613,B44,'Q2'!$T$14:$T$613)
)
/A44,"")</f>
        <v/>
      </c>
      <c r="R44">
        <f>'Q1'!AM54</f>
        <v/>
      </c>
    </row>
    <row r="45">
      <c r="A45" s="1">
        <f>IF(B45="","",COUNTIF($R$4:$R$4803,B45))</f>
        <v/>
      </c>
      <c r="B45" s="1" t="n"/>
      <c r="C45" s="18">
        <f>IFERROR(
(
SUMIF('Q1'!$AM$14:$AM$613,B45,'Q1'!$T$14:$T$613)
+SUMIF('Q2'!$AM$14:$AM$613,B45,'Q2'!$T$14:$T$613)
)
/A45,"")</f>
        <v/>
      </c>
      <c r="R45">
        <f>'Q1'!AM55</f>
        <v/>
      </c>
    </row>
    <row r="46">
      <c r="A46" s="1">
        <f>IF(B46="","",COUNTIF($R$4:$R$4803,B46))</f>
        <v/>
      </c>
      <c r="B46" s="1" t="n"/>
      <c r="C46" s="18">
        <f>IFERROR(
(
SUMIF('Q1'!$AM$14:$AM$613,B46,'Q1'!$T$14:$T$613)
+SUMIF('Q2'!$AM$14:$AM$613,B46,'Q2'!$T$14:$T$613)
)
/A46,"")</f>
        <v/>
      </c>
      <c r="R46">
        <f>'Q1'!AM56</f>
        <v/>
      </c>
    </row>
    <row r="47">
      <c r="A47" s="1">
        <f>IF(B47="","",COUNTIF($R$4:$R$4803,B47))</f>
        <v/>
      </c>
      <c r="B47" s="1" t="n"/>
      <c r="C47" s="18">
        <f>IFERROR(
(
SUMIF('Q1'!$AM$14:$AM$613,B47,'Q1'!$T$14:$T$613)
+SUMIF('Q2'!$AM$14:$AM$613,B47,'Q2'!$T$14:$T$613)
)
/A47,"")</f>
        <v/>
      </c>
      <c r="R47">
        <f>'Q1'!AM57</f>
        <v/>
      </c>
    </row>
    <row r="48">
      <c r="A48" s="1">
        <f>IF(B48="","",COUNTIF($R$4:$R$4803,B48))</f>
        <v/>
      </c>
      <c r="B48" s="1" t="n"/>
      <c r="C48" s="18">
        <f>IFERROR(
(
SUMIF('Q1'!$AM$14:$AM$613,B48,'Q1'!$T$14:$T$613)
+SUMIF('Q2'!$AM$14:$AM$613,B48,'Q2'!$T$14:$T$613)
)
/A48,"")</f>
        <v/>
      </c>
      <c r="R48">
        <f>'Q1'!AM58</f>
        <v/>
      </c>
    </row>
    <row r="49">
      <c r="A49" s="1">
        <f>IF(B49="","",COUNTIF($R$4:$R$4803,B49))</f>
        <v/>
      </c>
      <c r="B49" s="1" t="n"/>
      <c r="C49" s="18">
        <f>IFERROR(
(
SUMIF('Q1'!$AM$14:$AM$613,B49,'Q1'!$T$14:$T$613)
+SUMIF('Q2'!$AM$14:$AM$613,B49,'Q2'!$T$14:$T$613)
)
/A49,"")</f>
        <v/>
      </c>
      <c r="R49">
        <f>'Q1'!AM59</f>
        <v/>
      </c>
    </row>
    <row r="50">
      <c r="A50" s="1">
        <f>IF(B50="","",COUNTIF($R$4:$R$4803,B50))</f>
        <v/>
      </c>
      <c r="B50" s="1" t="n"/>
      <c r="C50" s="18">
        <f>IFERROR(
(
SUMIF('Q1'!$AM$14:$AM$613,B50,'Q1'!$T$14:$T$613)
+SUMIF('Q2'!$AM$14:$AM$613,B50,'Q2'!$T$14:$T$613)
)
/A50,"")</f>
        <v/>
      </c>
      <c r="R50">
        <f>'Q1'!AM60</f>
        <v/>
      </c>
    </row>
    <row r="51">
      <c r="A51" s="1">
        <f>IF(B51="","",COUNTIF($R$4:$R$4803,B51))</f>
        <v/>
      </c>
      <c r="B51" s="1" t="n"/>
      <c r="C51" s="18">
        <f>IFERROR(
(
SUMIF('Q1'!$AM$14:$AM$613,B51,'Q1'!$T$14:$T$613)
+SUMIF('Q2'!$AM$14:$AM$613,B51,'Q2'!$T$14:$T$613)
)
/A51,"")</f>
        <v/>
      </c>
      <c r="R51">
        <f>'Q1'!AM61</f>
        <v/>
      </c>
    </row>
    <row r="52">
      <c r="A52" s="1">
        <f>IF(B52="","",COUNTIF($R$4:$R$4803,B52))</f>
        <v/>
      </c>
      <c r="B52" s="1" t="n"/>
      <c r="C52" s="18">
        <f>IFERROR(
(
SUMIF('Q1'!$AM$14:$AM$613,B52,'Q1'!$T$14:$T$613)
+SUMIF('Q2'!$AM$14:$AM$613,B52,'Q2'!$T$14:$T$613)
)
/A52,"")</f>
        <v/>
      </c>
      <c r="R52">
        <f>'Q1'!AM62</f>
        <v/>
      </c>
    </row>
    <row r="53">
      <c r="A53" s="1">
        <f>IF(B53="","",COUNTIF($R$4:$R$4803,B53))</f>
        <v/>
      </c>
      <c r="B53" s="1" t="n"/>
      <c r="C53" s="18">
        <f>IFERROR(
(
SUMIF('Q1'!$AM$14:$AM$613,B53,'Q1'!$T$14:$T$613)
+SUMIF('Q2'!$AM$14:$AM$613,B53,'Q2'!$T$14:$T$613)
)
/A53,"")</f>
        <v/>
      </c>
      <c r="R53">
        <f>'Q1'!AM63</f>
        <v/>
      </c>
    </row>
    <row r="54">
      <c r="A54" s="1">
        <f>IF(B54="","",COUNTIF($R$4:$R$4803,B54))</f>
        <v/>
      </c>
      <c r="B54" s="1" t="n"/>
      <c r="C54" s="18">
        <f>IFERROR(
(
SUMIF('Q1'!$AM$14:$AM$613,B54,'Q1'!$T$14:$T$613)
+SUMIF('Q2'!$AM$14:$AM$613,B54,'Q2'!$T$14:$T$613)
)
/A54,"")</f>
        <v/>
      </c>
      <c r="R54">
        <f>'Q1'!AM64</f>
        <v/>
      </c>
    </row>
    <row r="55">
      <c r="A55" s="1">
        <f>IF(B55="","",COUNTIF($R$4:$R$4803,B55))</f>
        <v/>
      </c>
      <c r="B55" s="1" t="n"/>
      <c r="C55" s="18">
        <f>IFERROR(
(
SUMIF('Q1'!$AM$14:$AM$613,B55,'Q1'!$T$14:$T$613)
+SUMIF('Q2'!$AM$14:$AM$613,B55,'Q2'!$T$14:$T$613)
)
/A55,"")</f>
        <v/>
      </c>
      <c r="R55">
        <f>'Q1'!AM65</f>
        <v/>
      </c>
    </row>
    <row r="56">
      <c r="A56" s="1">
        <f>IF(B56="","",COUNTIF($R$4:$R$4803,B56))</f>
        <v/>
      </c>
      <c r="B56" s="1" t="n"/>
      <c r="C56" s="18">
        <f>IFERROR(
(
SUMIF('Q1'!$AM$14:$AM$613,B56,'Q1'!$T$14:$T$613)
+SUMIF('Q2'!$AM$14:$AM$613,B56,'Q2'!$T$14:$T$613)
)
/A56,"")</f>
        <v/>
      </c>
      <c r="R56">
        <f>'Q1'!AM66</f>
        <v/>
      </c>
    </row>
    <row r="57">
      <c r="A57" s="1">
        <f>IF(B57="","",COUNTIF($R$4:$R$4803,B57))</f>
        <v/>
      </c>
      <c r="B57" s="1" t="n"/>
      <c r="C57" s="18">
        <f>IFERROR(
(
SUMIF('Q1'!$AM$14:$AM$613,B57,'Q1'!$T$14:$T$613)
+SUMIF('Q2'!$AM$14:$AM$613,B57,'Q2'!$T$14:$T$613)
)
/A57,"")</f>
        <v/>
      </c>
      <c r="R57">
        <f>'Q1'!AM67</f>
        <v/>
      </c>
    </row>
    <row r="58">
      <c r="A58" s="1">
        <f>IF(B58="","",COUNTIF($R$4:$R$4803,B58))</f>
        <v/>
      </c>
      <c r="B58" s="1" t="n"/>
      <c r="C58" s="18">
        <f>IFERROR(
(
SUMIF('Q1'!$AM$14:$AM$613,B58,'Q1'!$T$14:$T$613)
+SUMIF('Q2'!$AM$14:$AM$613,B58,'Q2'!$T$14:$T$613)
)
/A58,"")</f>
        <v/>
      </c>
      <c r="R58">
        <f>'Q1'!AM68</f>
        <v/>
      </c>
    </row>
    <row r="59">
      <c r="A59" s="1">
        <f>IF(B59="","",COUNTIF($R$4:$R$4803,B59))</f>
        <v/>
      </c>
      <c r="B59" s="1" t="n"/>
      <c r="C59" s="18">
        <f>IFERROR(
(
SUMIF('Q1'!$AM$14:$AM$613,B59,'Q1'!$T$14:$T$613)
+SUMIF('Q2'!$AM$14:$AM$613,B59,'Q2'!$T$14:$T$613)
)
/A59,"")</f>
        <v/>
      </c>
      <c r="R59">
        <f>'Q1'!AM69</f>
        <v/>
      </c>
    </row>
    <row r="60">
      <c r="A60" s="1">
        <f>IF(B60="","",COUNTIF($R$4:$R$4803,B60))</f>
        <v/>
      </c>
      <c r="B60" s="1" t="n"/>
      <c r="C60" s="18">
        <f>IFERROR(
(
SUMIF('Q1'!$AM$14:$AM$613,B60,'Q1'!$T$14:$T$613)
+SUMIF('Q2'!$AM$14:$AM$613,B60,'Q2'!$T$14:$T$613)
)
/A60,"")</f>
        <v/>
      </c>
      <c r="R60">
        <f>'Q1'!AM70</f>
        <v/>
      </c>
    </row>
    <row r="61">
      <c r="A61" s="1">
        <f>IF(B61="","",COUNTIF($R$4:$R$4803,B61))</f>
        <v/>
      </c>
      <c r="B61" s="1" t="n"/>
      <c r="C61" s="18">
        <f>IFERROR(
(
SUMIF('Q1'!$AM$14:$AM$613,B61,'Q1'!$T$14:$T$613)
+SUMIF('Q2'!$AM$14:$AM$613,B61,'Q2'!$T$14:$T$613)
)
/A61,"")</f>
        <v/>
      </c>
      <c r="R61">
        <f>'Q1'!AM71</f>
        <v/>
      </c>
    </row>
    <row r="62">
      <c r="A62" s="1">
        <f>IF(B62="","",COUNTIF($R$4:$R$4803,B62))</f>
        <v/>
      </c>
      <c r="B62" s="1" t="n"/>
      <c r="C62" s="18">
        <f>IFERROR(
(
SUMIF('Q1'!$AM$14:$AM$613,B62,'Q1'!$T$14:$T$613)
+SUMIF('Q2'!$AM$14:$AM$613,B62,'Q2'!$T$14:$T$613)
)
/A62,"")</f>
        <v/>
      </c>
      <c r="R62">
        <f>'Q1'!AM72</f>
        <v/>
      </c>
    </row>
    <row r="63">
      <c r="A63" s="1">
        <f>IF(B63="","",COUNTIF($R$4:$R$4803,B63))</f>
        <v/>
      </c>
      <c r="B63" s="1" t="n"/>
      <c r="C63" s="18">
        <f>IFERROR(
(
SUMIF('Q1'!$AM$14:$AM$613,B63,'Q1'!$T$14:$T$613)
+SUMIF('Q2'!$AM$14:$AM$613,B63,'Q2'!$T$14:$T$613)
)
/A63,"")</f>
        <v/>
      </c>
      <c r="R63">
        <f>'Q1'!AM73</f>
        <v/>
      </c>
    </row>
    <row r="64">
      <c r="A64" s="1">
        <f>IF(B64="","",COUNTIF($R$4:$R$4803,B64))</f>
        <v/>
      </c>
      <c r="B64" s="1" t="n"/>
      <c r="C64" s="18">
        <f>IFERROR(
(
SUMIF('Q1'!$AM$14:$AM$613,B64,'Q1'!$T$14:$T$613)
+SUMIF('Q2'!$AM$14:$AM$613,B64,'Q2'!$T$14:$T$613)
)
/A64,"")</f>
        <v/>
      </c>
      <c r="R64">
        <f>'Q1'!AM74</f>
        <v/>
      </c>
    </row>
    <row r="65">
      <c r="A65" s="1">
        <f>IF(B65="","",COUNTIF($R$4:$R$4803,B65))</f>
        <v/>
      </c>
      <c r="B65" s="1" t="n"/>
      <c r="C65" s="18">
        <f>IFERROR(
(
SUMIF('Q1'!$AM$14:$AM$613,B65,'Q1'!$T$14:$T$613)
+SUMIF('Q2'!$AM$14:$AM$613,B65,'Q2'!$T$14:$T$613)
)
/A65,"")</f>
        <v/>
      </c>
      <c r="R65">
        <f>'Q1'!AM75</f>
        <v/>
      </c>
    </row>
    <row r="66">
      <c r="A66" s="1">
        <f>IF(B66="","",COUNTIF($R$4:$R$4803,B66))</f>
        <v/>
      </c>
      <c r="B66" s="1" t="n"/>
      <c r="C66" s="18">
        <f>IFERROR(
(
SUMIF('Q1'!$AM$14:$AM$613,B66,'Q1'!$T$14:$T$613)
+SUMIF('Q2'!$AM$14:$AM$613,B66,'Q2'!$T$14:$T$613)
)
/A66,"")</f>
        <v/>
      </c>
      <c r="R66">
        <f>'Q1'!AM76</f>
        <v/>
      </c>
    </row>
    <row r="67">
      <c r="A67" s="1">
        <f>IF(B67="","",COUNTIF($R$4:$R$4803,B67))</f>
        <v/>
      </c>
      <c r="B67" s="1" t="n"/>
      <c r="C67" s="18">
        <f>IFERROR(
(
SUMIF('Q1'!$AM$14:$AM$613,B67,'Q1'!$T$14:$T$613)
+SUMIF('Q2'!$AM$14:$AM$613,B67,'Q2'!$T$14:$T$613)
)
/A67,"")</f>
        <v/>
      </c>
      <c r="R67">
        <f>'Q1'!AM77</f>
        <v/>
      </c>
    </row>
    <row r="68">
      <c r="A68" s="1">
        <f>IF(B68="","",COUNTIF($R$4:$R$4803,B68))</f>
        <v/>
      </c>
      <c r="B68" s="1" t="n"/>
      <c r="C68" s="18">
        <f>IFERROR(
(
SUMIF('Q1'!$AM$14:$AM$613,B68,'Q1'!$T$14:$T$613)
+SUMIF('Q2'!$AM$14:$AM$613,B68,'Q2'!$T$14:$T$613)
)
/A68,"")</f>
        <v/>
      </c>
      <c r="R68">
        <f>'Q1'!AM78</f>
        <v/>
      </c>
    </row>
    <row r="69">
      <c r="A69" s="1">
        <f>IF(B69="","",COUNTIF($R$4:$R$4803,B69))</f>
        <v/>
      </c>
      <c r="B69" s="1" t="n"/>
      <c r="C69" s="18">
        <f>IFERROR(
(
SUMIF('Q1'!$AM$14:$AM$613,B69,'Q1'!$T$14:$T$613)
+SUMIF('Q2'!$AM$14:$AM$613,B69,'Q2'!$T$14:$T$613)
)
/A69,"")</f>
        <v/>
      </c>
      <c r="R69">
        <f>'Q1'!AM79</f>
        <v/>
      </c>
    </row>
    <row r="70">
      <c r="A70" s="1">
        <f>IF(B70="","",COUNTIF($R$4:$R$4803,B70))</f>
        <v/>
      </c>
      <c r="B70" s="1" t="n"/>
      <c r="C70" s="18">
        <f>IFERROR(
(
SUMIF('Q1'!$AM$14:$AM$613,B70,'Q1'!$T$14:$T$613)
+SUMIF('Q2'!$AM$14:$AM$613,B70,'Q2'!$T$14:$T$613)
)
/A70,"")</f>
        <v/>
      </c>
      <c r="R70">
        <f>'Q1'!AM80</f>
        <v/>
      </c>
    </row>
    <row r="71">
      <c r="A71" s="1">
        <f>IF(B71="","",COUNTIF($R$4:$R$4803,B71))</f>
        <v/>
      </c>
      <c r="B71" s="1" t="n"/>
      <c r="C71" s="18">
        <f>IFERROR(
(
SUMIF('Q1'!$AM$14:$AM$613,B71,'Q1'!$T$14:$T$613)
+SUMIF('Q2'!$AM$14:$AM$613,B71,'Q2'!$T$14:$T$613)
)
/A71,"")</f>
        <v/>
      </c>
      <c r="R71">
        <f>'Q1'!AM81</f>
        <v/>
      </c>
    </row>
    <row r="72">
      <c r="A72" s="1">
        <f>IF(B72="","",COUNTIF($R$4:$R$4803,B72))</f>
        <v/>
      </c>
      <c r="B72" s="1" t="n"/>
      <c r="C72" s="18">
        <f>IFERROR(
(
SUMIF('Q1'!$AM$14:$AM$613,B72,'Q1'!$T$14:$T$613)
+SUMIF('Q2'!$AM$14:$AM$613,B72,'Q2'!$T$14:$T$613)
)
/A72,"")</f>
        <v/>
      </c>
      <c r="R72">
        <f>'Q1'!AM82</f>
        <v/>
      </c>
    </row>
    <row r="73">
      <c r="A73" s="1">
        <f>IF(B73="","",COUNTIF($R$4:$R$4803,B73))</f>
        <v/>
      </c>
      <c r="B73" s="1" t="n"/>
      <c r="C73" s="18">
        <f>IFERROR(
(
SUMIF('Q1'!$AM$14:$AM$613,B73,'Q1'!$T$14:$T$613)
+SUMIF('Q2'!$AM$14:$AM$613,B73,'Q2'!$T$14:$T$613)
)
/A73,"")</f>
        <v/>
      </c>
      <c r="R73">
        <f>'Q1'!AM83</f>
        <v/>
      </c>
    </row>
    <row r="74">
      <c r="A74" s="1">
        <f>IF(B74="","",COUNTIF($R$4:$R$4803,B74))</f>
        <v/>
      </c>
      <c r="B74" s="1" t="n"/>
      <c r="C74" s="18">
        <f>IFERROR(
(
SUMIF('Q1'!$AM$14:$AM$613,B74,'Q1'!$T$14:$T$613)
+SUMIF('Q2'!$AM$14:$AM$613,B74,'Q2'!$T$14:$T$613)
)
/A74,"")</f>
        <v/>
      </c>
      <c r="R74">
        <f>'Q1'!AM84</f>
        <v/>
      </c>
    </row>
    <row r="75">
      <c r="A75" s="1">
        <f>IF(B75="","",COUNTIF($R$4:$R$4803,B75))</f>
        <v/>
      </c>
      <c r="B75" s="1" t="n"/>
      <c r="C75" s="18">
        <f>IFERROR(
(
SUMIF('Q1'!$AM$14:$AM$613,B75,'Q1'!$T$14:$T$613)
+SUMIF('Q2'!$AM$14:$AM$613,B75,'Q2'!$T$14:$T$613)
)
/A75,"")</f>
        <v/>
      </c>
      <c r="R75">
        <f>'Q1'!AM85</f>
        <v/>
      </c>
    </row>
    <row r="76">
      <c r="A76" s="1">
        <f>IF(B76="","",COUNTIF($R$4:$R$4803,B76))</f>
        <v/>
      </c>
      <c r="B76" s="1" t="n"/>
      <c r="C76" s="18">
        <f>IFERROR(
(
SUMIF('Q1'!$AM$14:$AM$613,B76,'Q1'!$T$14:$T$613)
+SUMIF('Q2'!$AM$14:$AM$613,B76,'Q2'!$T$14:$T$613)
)
/A76,"")</f>
        <v/>
      </c>
      <c r="R76">
        <f>'Q1'!AM86</f>
        <v/>
      </c>
    </row>
    <row r="77">
      <c r="A77" s="1">
        <f>IF(B77="","",COUNTIF($R$4:$R$4803,B77))</f>
        <v/>
      </c>
      <c r="B77" s="1" t="n"/>
      <c r="C77" s="18">
        <f>IFERROR(
(
SUMIF('Q1'!$AM$14:$AM$613,B77,'Q1'!$T$14:$T$613)
+SUMIF('Q2'!$AM$14:$AM$613,B77,'Q2'!$T$14:$T$613)
)
/A77,"")</f>
        <v/>
      </c>
      <c r="R77">
        <f>'Q1'!AM87</f>
        <v/>
      </c>
    </row>
    <row r="78">
      <c r="A78" s="1">
        <f>IF(B78="","",COUNTIF($R$4:$R$4803,B78))</f>
        <v/>
      </c>
      <c r="B78" s="1" t="n"/>
      <c r="C78" s="18">
        <f>IFERROR(
(
SUMIF('Q1'!$AM$14:$AM$613,B78,'Q1'!$T$14:$T$613)
+SUMIF('Q2'!$AM$14:$AM$613,B78,'Q2'!$T$14:$T$613)
)
/A78,"")</f>
        <v/>
      </c>
      <c r="R78">
        <f>'Q1'!AM88</f>
        <v/>
      </c>
    </row>
    <row r="79">
      <c r="A79" s="1">
        <f>IF(B79="","",COUNTIF($R$4:$R$4803,B79))</f>
        <v/>
      </c>
      <c r="B79" s="1" t="n"/>
      <c r="C79" s="18">
        <f>IFERROR(
(
SUMIF('Q1'!$AM$14:$AM$613,B79,'Q1'!$T$14:$T$613)
+SUMIF('Q2'!$AM$14:$AM$613,B79,'Q2'!$T$14:$T$613)
)
/A79,"")</f>
        <v/>
      </c>
      <c r="R79">
        <f>'Q1'!AM89</f>
        <v/>
      </c>
    </row>
    <row r="80">
      <c r="A80" s="1">
        <f>IF(B80="","",COUNTIF($R$4:$R$4803,B80))</f>
        <v/>
      </c>
      <c r="B80" s="1" t="n"/>
      <c r="C80" s="18">
        <f>IFERROR(
(
SUMIF('Q1'!$AM$14:$AM$613,B80,'Q1'!$T$14:$T$613)
+SUMIF('Q2'!$AM$14:$AM$613,B80,'Q2'!$T$14:$T$613)
)
/A80,"")</f>
        <v/>
      </c>
      <c r="R80">
        <f>'Q1'!AM90</f>
        <v/>
      </c>
    </row>
    <row r="81">
      <c r="A81" s="1">
        <f>IF(B81="","",COUNTIF($R$4:$R$4803,B81))</f>
        <v/>
      </c>
      <c r="B81" s="1" t="n"/>
      <c r="C81" s="18">
        <f>IFERROR(
(
SUMIF('Q1'!$AM$14:$AM$613,B81,'Q1'!$T$14:$T$613)
+SUMIF('Q2'!$AM$14:$AM$613,B81,'Q2'!$T$14:$T$613)
)
/A81,"")</f>
        <v/>
      </c>
      <c r="R81">
        <f>'Q1'!AM91</f>
        <v/>
      </c>
    </row>
    <row r="82">
      <c r="A82" s="1">
        <f>IF(B82="","",COUNTIF($R$4:$R$4803,B82))</f>
        <v/>
      </c>
      <c r="B82" s="1" t="n"/>
      <c r="C82" s="18">
        <f>IFERROR(
(
SUMIF('Q1'!$AM$14:$AM$613,B82,'Q1'!$T$14:$T$613)
+SUMIF('Q2'!$AM$14:$AM$613,B82,'Q2'!$T$14:$T$613)
)
/A82,"")</f>
        <v/>
      </c>
      <c r="R82">
        <f>'Q1'!AM92</f>
        <v/>
      </c>
    </row>
    <row r="83">
      <c r="A83" s="1">
        <f>IF(B83="","",COUNTIF($R$4:$R$4803,B83))</f>
        <v/>
      </c>
      <c r="B83" s="1" t="n"/>
      <c r="C83" s="18">
        <f>IFERROR(
(
SUMIF('Q1'!$AM$14:$AM$613,B83,'Q1'!$T$14:$T$613)
+SUMIF('Q2'!$AM$14:$AM$613,B83,'Q2'!$T$14:$T$613)
)
/A83,"")</f>
        <v/>
      </c>
      <c r="R83">
        <f>'Q1'!AM93</f>
        <v/>
      </c>
    </row>
    <row r="84">
      <c r="A84" s="1">
        <f>IF(B84="","",COUNTIF($R$4:$R$4803,B84))</f>
        <v/>
      </c>
      <c r="B84" s="1" t="n"/>
      <c r="C84" s="18">
        <f>IFERROR(
(
SUMIF('Q1'!$AM$14:$AM$613,B84,'Q1'!$T$14:$T$613)
+SUMIF('Q2'!$AM$14:$AM$613,B84,'Q2'!$T$14:$T$613)
)
/A84,"")</f>
        <v/>
      </c>
      <c r="R84">
        <f>'Q1'!AM94</f>
        <v/>
      </c>
    </row>
    <row r="85">
      <c r="A85" s="1">
        <f>IF(B85="","",COUNTIF($R$4:$R$4803,B85))</f>
        <v/>
      </c>
      <c r="B85" s="1" t="n"/>
      <c r="C85" s="18">
        <f>IFERROR(
(
SUMIF('Q1'!$AM$14:$AM$613,B85,'Q1'!$T$14:$T$613)
+SUMIF('Q2'!$AM$14:$AM$613,B85,'Q2'!$T$14:$T$613)
)
/A85,"")</f>
        <v/>
      </c>
      <c r="R85">
        <f>'Q1'!AM95</f>
        <v/>
      </c>
    </row>
    <row r="86">
      <c r="A86" s="1">
        <f>IF(B86="","",COUNTIF($R$4:$R$4803,B86))</f>
        <v/>
      </c>
      <c r="B86" s="1" t="n"/>
      <c r="C86" s="18">
        <f>IFERROR(
(
SUMIF('Q1'!$AM$14:$AM$613,B86,'Q1'!$T$14:$T$613)
+SUMIF('Q2'!$AM$14:$AM$613,B86,'Q2'!$T$14:$T$613)
)
/A86,"")</f>
        <v/>
      </c>
      <c r="R86">
        <f>'Q1'!AM96</f>
        <v/>
      </c>
    </row>
    <row r="87">
      <c r="A87" s="1">
        <f>IF(B87="","",COUNTIF($R$4:$R$4803,B87))</f>
        <v/>
      </c>
      <c r="B87" s="1" t="n"/>
      <c r="C87" s="18">
        <f>IFERROR(
(
SUMIF('Q1'!$AM$14:$AM$613,B87,'Q1'!$T$14:$T$613)
+SUMIF('Q2'!$AM$14:$AM$613,B87,'Q2'!$T$14:$T$613)
)
/A87,"")</f>
        <v/>
      </c>
      <c r="R87">
        <f>'Q1'!AM97</f>
        <v/>
      </c>
    </row>
    <row r="88">
      <c r="A88" s="1">
        <f>IF(B88="","",COUNTIF($R$4:$R$4803,B88))</f>
        <v/>
      </c>
      <c r="B88" s="1" t="n"/>
      <c r="C88" s="18">
        <f>IFERROR(
(
SUMIF('Q1'!$AM$14:$AM$613,B88,'Q1'!$T$14:$T$613)
+SUMIF('Q2'!$AM$14:$AM$613,B88,'Q2'!$T$14:$T$613)
)
/A88,"")</f>
        <v/>
      </c>
      <c r="R88">
        <f>'Q1'!AM98</f>
        <v/>
      </c>
    </row>
    <row r="89">
      <c r="A89" s="1">
        <f>IF(B89="","",COUNTIF($R$4:$R$4803,B89))</f>
        <v/>
      </c>
      <c r="B89" s="1" t="n"/>
      <c r="C89" s="18">
        <f>IFERROR(
(
SUMIF('Q1'!$AM$14:$AM$613,B89,'Q1'!$T$14:$T$613)
+SUMIF('Q2'!$AM$14:$AM$613,B89,'Q2'!$T$14:$T$613)
)
/A89,"")</f>
        <v/>
      </c>
      <c r="R89">
        <f>'Q1'!AM99</f>
        <v/>
      </c>
    </row>
    <row r="90">
      <c r="A90" s="1">
        <f>IF(B90="","",COUNTIF($R$4:$R$4803,B90))</f>
        <v/>
      </c>
      <c r="B90" s="1" t="n"/>
      <c r="C90" s="18">
        <f>IFERROR(
(
SUMIF('Q1'!$AM$14:$AM$613,B90,'Q1'!$T$14:$T$613)
+SUMIF('Q2'!$AM$14:$AM$613,B90,'Q2'!$T$14:$T$613)
)
/A90,"")</f>
        <v/>
      </c>
      <c r="R90">
        <f>'Q1'!AM100</f>
        <v/>
      </c>
    </row>
    <row r="91">
      <c r="A91" s="1">
        <f>IF(B91="","",COUNTIF($R$4:$R$4803,B91))</f>
        <v/>
      </c>
      <c r="B91" s="1" t="n"/>
      <c r="C91" s="18">
        <f>IFERROR(
(
SUMIF('Q1'!$AM$14:$AM$613,B91,'Q1'!$T$14:$T$613)
+SUMIF('Q2'!$AM$14:$AM$613,B91,'Q2'!$T$14:$T$613)
)
/A91,"")</f>
        <v/>
      </c>
      <c r="R91">
        <f>'Q1'!AM101</f>
        <v/>
      </c>
    </row>
    <row r="92">
      <c r="A92" s="1">
        <f>IF(B92="","",COUNTIF($R$4:$R$4803,B92))</f>
        <v/>
      </c>
      <c r="B92" s="1" t="n"/>
      <c r="C92" s="18">
        <f>IFERROR(
(
SUMIF('Q1'!$AM$14:$AM$613,B92,'Q1'!$T$14:$T$613)
+SUMIF('Q2'!$AM$14:$AM$613,B92,'Q2'!$T$14:$T$613)
)
/A92,"")</f>
        <v/>
      </c>
      <c r="R92">
        <f>'Q1'!AM102</f>
        <v/>
      </c>
    </row>
    <row r="93">
      <c r="A93" s="1">
        <f>IF(B93="","",COUNTIF($R$4:$R$4803,B93))</f>
        <v/>
      </c>
      <c r="B93" s="1" t="n"/>
      <c r="C93" s="18">
        <f>IFERROR(
(
SUMIF('Q1'!$AM$14:$AM$613,B93,'Q1'!$T$14:$T$613)
+SUMIF('Q2'!$AM$14:$AM$613,B93,'Q2'!$T$14:$T$613)
)
/A93,"")</f>
        <v/>
      </c>
      <c r="R93">
        <f>'Q1'!AM103</f>
        <v/>
      </c>
    </row>
    <row r="94">
      <c r="A94" s="1">
        <f>IF(B94="","",COUNTIF($R$4:$R$4803,B94))</f>
        <v/>
      </c>
      <c r="B94" s="1" t="n"/>
      <c r="C94" s="18">
        <f>IFERROR(
(
SUMIF('Q1'!$AM$14:$AM$613,B94,'Q1'!$T$14:$T$613)
+SUMIF('Q2'!$AM$14:$AM$613,B94,'Q2'!$T$14:$T$613)
)
/A94,"")</f>
        <v/>
      </c>
      <c r="R94">
        <f>'Q1'!AM104</f>
        <v/>
      </c>
    </row>
    <row r="95">
      <c r="A95" s="1">
        <f>IF(B95="","",COUNTIF($R$4:$R$4803,B95))</f>
        <v/>
      </c>
      <c r="B95" s="1" t="n"/>
      <c r="C95" s="18">
        <f>IFERROR(
(
SUMIF('Q1'!$AM$14:$AM$613,B95,'Q1'!$T$14:$T$613)
+SUMIF('Q2'!$AM$14:$AM$613,B95,'Q2'!$T$14:$T$613)
)
/A95,"")</f>
        <v/>
      </c>
      <c r="R95">
        <f>'Q1'!AM105</f>
        <v/>
      </c>
    </row>
    <row r="96">
      <c r="A96" s="1">
        <f>IF(B96="","",COUNTIF($R$4:$R$4803,B96))</f>
        <v/>
      </c>
      <c r="B96" s="1" t="n"/>
      <c r="C96" s="18">
        <f>IFERROR(
(
SUMIF('Q1'!$AM$14:$AM$613,B96,'Q1'!$T$14:$T$613)
+SUMIF('Q2'!$AM$14:$AM$613,B96,'Q2'!$T$14:$T$613)
)
/A96,"")</f>
        <v/>
      </c>
      <c r="R96">
        <f>'Q1'!AM106</f>
        <v/>
      </c>
    </row>
    <row r="97">
      <c r="A97" s="1">
        <f>IF(B97="","",COUNTIF($R$4:$R$4803,B97))</f>
        <v/>
      </c>
      <c r="B97" s="1" t="n"/>
      <c r="C97" s="18">
        <f>IFERROR(
(
SUMIF('Q1'!$AM$14:$AM$613,B97,'Q1'!$T$14:$T$613)
+SUMIF('Q2'!$AM$14:$AM$613,B97,'Q2'!$T$14:$T$613)
)
/A97,"")</f>
        <v/>
      </c>
      <c r="R97">
        <f>'Q1'!AM107</f>
        <v/>
      </c>
    </row>
    <row r="98">
      <c r="A98" s="1">
        <f>IF(B98="","",COUNTIF($R$4:$R$4803,B98))</f>
        <v/>
      </c>
      <c r="B98" s="1" t="n"/>
      <c r="C98" s="18">
        <f>IFERROR(
(
SUMIF('Q1'!$AM$14:$AM$613,B98,'Q1'!$T$14:$T$613)
+SUMIF('Q2'!$AM$14:$AM$613,B98,'Q2'!$T$14:$T$613)
)
/A98,"")</f>
        <v/>
      </c>
      <c r="R98">
        <f>'Q1'!AM108</f>
        <v/>
      </c>
    </row>
    <row r="99">
      <c r="A99" s="1">
        <f>IF(B99="","",COUNTIF($R$4:$R$4803,B99))</f>
        <v/>
      </c>
      <c r="B99" s="1" t="n"/>
      <c r="C99" s="18">
        <f>IFERROR(
(
SUMIF('Q1'!$AM$14:$AM$613,B99,'Q1'!$T$14:$T$613)
+SUMIF('Q2'!$AM$14:$AM$613,B99,'Q2'!$T$14:$T$613)
)
/A99,"")</f>
        <v/>
      </c>
      <c r="R99">
        <f>'Q1'!AM109</f>
        <v/>
      </c>
    </row>
    <row r="100">
      <c r="A100" s="1">
        <f>IF(B100="","",COUNTIF($R$4:$R$4803,B100))</f>
        <v/>
      </c>
      <c r="B100" s="1" t="n"/>
      <c r="C100" s="18">
        <f>IFERROR(
(
SUMIF('Q1'!$AM$14:$AM$613,B100,'Q1'!$T$14:$T$613)
+SUMIF('Q2'!$AM$14:$AM$613,B100,'Q2'!$T$14:$T$613)
)
/A100,"")</f>
        <v/>
      </c>
      <c r="R100">
        <f>'Q1'!AM110</f>
        <v/>
      </c>
    </row>
    <row r="101">
      <c r="A101" s="1">
        <f>IF(B101="","",COUNTIF($R$4:$R$4803,B101))</f>
        <v/>
      </c>
      <c r="B101" s="1" t="n"/>
      <c r="C101" s="18">
        <f>IFERROR(
(
SUMIF('Q1'!$AM$14:$AM$613,B101,'Q1'!$T$14:$T$613)
+SUMIF('Q2'!$AM$14:$AM$613,B101,'Q2'!$T$14:$T$613)
)
/A101,"")</f>
        <v/>
      </c>
      <c r="R101">
        <f>'Q1'!AM111</f>
        <v/>
      </c>
    </row>
    <row r="102">
      <c r="A102" s="1">
        <f>IF(B102="","",COUNTIF($R$4:$R$4803,B102))</f>
        <v/>
      </c>
      <c r="B102" s="1" t="n"/>
      <c r="C102" s="18">
        <f>IFERROR(
(
SUMIF('Q1'!$AM$14:$AM$613,B102,'Q1'!$T$14:$T$613)
+SUMIF('Q2'!$AM$14:$AM$613,B102,'Q2'!$T$14:$T$613)
)
/A102,"")</f>
        <v/>
      </c>
      <c r="R102">
        <f>'Q1'!AM112</f>
        <v/>
      </c>
    </row>
    <row r="103">
      <c r="A103" s="1">
        <f>IF(B103="","",COUNTIF($R$4:$R$4803,B103))</f>
        <v/>
      </c>
      <c r="B103" s="1" t="n"/>
      <c r="C103" s="18">
        <f>IFERROR(
(
SUMIF('Q1'!$AM$14:$AM$613,B103,'Q1'!$T$14:$T$613)
+SUMIF('Q2'!$AM$14:$AM$613,B103,'Q2'!$T$14:$T$613)
)
/A103,"")</f>
        <v/>
      </c>
      <c r="R103">
        <f>'Q1'!AM113</f>
        <v/>
      </c>
    </row>
    <row r="104">
      <c r="A104" s="1">
        <f>IF(B104="","",COUNTIF($R$4:$R$4803,B104))</f>
        <v/>
      </c>
      <c r="B104" s="1" t="n"/>
      <c r="C104" s="18">
        <f>IFERROR(
(
SUMIF('Q1'!$AM$14:$AM$613,B104,'Q1'!$T$14:$T$613)
+SUMIF('Q2'!$AM$14:$AM$613,B104,'Q2'!$T$14:$T$613)
)
/A104,"")</f>
        <v/>
      </c>
      <c r="R104">
        <f>'Q1'!AM114</f>
        <v/>
      </c>
    </row>
    <row r="105">
      <c r="A105" s="1">
        <f>IF(B105="","",COUNTIF($R$4:$R$4803,B105))</f>
        <v/>
      </c>
      <c r="B105" s="1" t="n"/>
      <c r="C105" s="18">
        <f>IFERROR(
(
SUMIF('Q1'!$AM$14:$AM$613,B105,'Q1'!$T$14:$T$613)
+SUMIF('Q2'!$AM$14:$AM$613,B105,'Q2'!$T$14:$T$613)
)
/A105,"")</f>
        <v/>
      </c>
      <c r="R105">
        <f>'Q1'!AM115</f>
        <v/>
      </c>
    </row>
    <row r="106">
      <c r="A106" s="1">
        <f>IF(B106="","",COUNTIF($R$4:$R$4803,B106))</f>
        <v/>
      </c>
      <c r="B106" s="1" t="n"/>
      <c r="C106" s="18">
        <f>IFERROR(
(
SUMIF('Q1'!$AM$14:$AM$613,B106,'Q1'!$T$14:$T$613)
+SUMIF('Q2'!$AM$14:$AM$613,B106,'Q2'!$T$14:$T$613)
)
/A106,"")</f>
        <v/>
      </c>
      <c r="R106">
        <f>'Q1'!AM116</f>
        <v/>
      </c>
    </row>
    <row r="107">
      <c r="A107" s="1">
        <f>IF(B107="","",COUNTIF($R$4:$R$4803,B107))</f>
        <v/>
      </c>
      <c r="B107" s="1" t="n"/>
      <c r="C107" s="18">
        <f>IFERROR(
(
SUMIF('Q1'!$AM$14:$AM$613,B107,'Q1'!$T$14:$T$613)
+SUMIF('Q2'!$AM$14:$AM$613,B107,'Q2'!$T$14:$T$613)
)
/A107,"")</f>
        <v/>
      </c>
      <c r="R107">
        <f>'Q1'!AM117</f>
        <v/>
      </c>
    </row>
    <row r="108">
      <c r="A108" s="1">
        <f>IF(B108="","",COUNTIF($R$4:$R$4803,B108))</f>
        <v/>
      </c>
      <c r="B108" s="1" t="n"/>
      <c r="C108" s="18">
        <f>IFERROR(
(
SUMIF('Q1'!$AM$14:$AM$613,B108,'Q1'!$T$14:$T$613)
+SUMIF('Q2'!$AM$14:$AM$613,B108,'Q2'!$T$14:$T$613)
)
/A108,"")</f>
        <v/>
      </c>
      <c r="R108">
        <f>'Q1'!AM118</f>
        <v/>
      </c>
    </row>
    <row r="109">
      <c r="A109" s="1">
        <f>IF(B109="","",COUNTIF($R$4:$R$4803,B109))</f>
        <v/>
      </c>
      <c r="B109" s="1" t="n"/>
      <c r="C109" s="18">
        <f>IFERROR(
(
SUMIF('Q1'!$AM$14:$AM$613,B109,'Q1'!$T$14:$T$613)
+SUMIF('Q2'!$AM$14:$AM$613,B109,'Q2'!$T$14:$T$613)
)
/A109,"")</f>
        <v/>
      </c>
      <c r="R109">
        <f>'Q1'!AM119</f>
        <v/>
      </c>
    </row>
    <row r="110">
      <c r="A110" s="1">
        <f>IF(B110="","",COUNTIF($R$4:$R$4803,B110))</f>
        <v/>
      </c>
      <c r="B110" s="1" t="n"/>
      <c r="C110" s="18">
        <f>IFERROR(
(
SUMIF('Q1'!$AM$14:$AM$613,B110,'Q1'!$T$14:$T$613)
+SUMIF('Q2'!$AM$14:$AM$613,B110,'Q2'!$T$14:$T$613)
)
/A110,"")</f>
        <v/>
      </c>
      <c r="R110">
        <f>'Q1'!AM120</f>
        <v/>
      </c>
    </row>
    <row r="111">
      <c r="A111" s="1">
        <f>IF(B111="","",COUNTIF($R$4:$R$4803,B111))</f>
        <v/>
      </c>
      <c r="B111" s="1" t="n"/>
      <c r="C111" s="18">
        <f>IFERROR(
(
SUMIF('Q1'!$AM$14:$AM$613,B111,'Q1'!$T$14:$T$613)
+SUMIF('Q2'!$AM$14:$AM$613,B111,'Q2'!$T$14:$T$613)
)
/A111,"")</f>
        <v/>
      </c>
      <c r="R111">
        <f>'Q1'!AM121</f>
        <v/>
      </c>
    </row>
    <row r="112">
      <c r="A112" s="1">
        <f>IF(B112="","",COUNTIF($R$4:$R$4803,B112))</f>
        <v/>
      </c>
      <c r="B112" s="1" t="n"/>
      <c r="C112" s="18">
        <f>IFERROR(
(
SUMIF('Q1'!$AM$14:$AM$613,B112,'Q1'!$T$14:$T$613)
+SUMIF('Q2'!$AM$14:$AM$613,B112,'Q2'!$T$14:$T$613)
)
/A112,"")</f>
        <v/>
      </c>
      <c r="R112">
        <f>'Q1'!AM122</f>
        <v/>
      </c>
    </row>
    <row r="113">
      <c r="A113" s="1">
        <f>IF(B113="","",COUNTIF($R$4:$R$4803,B113))</f>
        <v/>
      </c>
      <c r="B113" s="1" t="n"/>
      <c r="C113" s="18">
        <f>IFERROR(
(
SUMIF('Q1'!$AM$14:$AM$613,B113,'Q1'!$T$14:$T$613)
+SUMIF('Q2'!$AM$14:$AM$613,B113,'Q2'!$T$14:$T$613)
)
/A113,"")</f>
        <v/>
      </c>
      <c r="R113">
        <f>'Q1'!AM123</f>
        <v/>
      </c>
    </row>
    <row r="114">
      <c r="A114" s="1">
        <f>IF(B114="","",COUNTIF($R$4:$R$4803,B114))</f>
        <v/>
      </c>
      <c r="B114" s="1" t="n"/>
      <c r="C114" s="18">
        <f>IFERROR(
(
SUMIF('Q1'!$AM$14:$AM$613,B114,'Q1'!$T$14:$T$613)
+SUMIF('Q2'!$AM$14:$AM$613,B114,'Q2'!$T$14:$T$613)
)
/A114,"")</f>
        <v/>
      </c>
      <c r="R114">
        <f>'Q1'!AM124</f>
        <v/>
      </c>
    </row>
    <row r="115">
      <c r="A115" s="1">
        <f>IF(B115="","",COUNTIF($R$4:$R$4803,B115))</f>
        <v/>
      </c>
      <c r="B115" s="1" t="n"/>
      <c r="C115" s="18">
        <f>IFERROR(
(
SUMIF('Q1'!$AM$14:$AM$613,B115,'Q1'!$T$14:$T$613)
+SUMIF('Q2'!$AM$14:$AM$613,B115,'Q2'!$T$14:$T$613)
)
/A115,"")</f>
        <v/>
      </c>
      <c r="R115">
        <f>'Q1'!AM125</f>
        <v/>
      </c>
    </row>
    <row r="116">
      <c r="A116" s="1">
        <f>IF(B116="","",COUNTIF($R$4:$R$4803,B116))</f>
        <v/>
      </c>
      <c r="B116" s="1" t="n"/>
      <c r="C116" s="18">
        <f>IFERROR(
(
SUMIF('Q1'!$AM$14:$AM$613,B116,'Q1'!$T$14:$T$613)
+SUMIF('Q2'!$AM$14:$AM$613,B116,'Q2'!$T$14:$T$613)
)
/A116,"")</f>
        <v/>
      </c>
      <c r="R116">
        <f>'Q1'!AM126</f>
        <v/>
      </c>
    </row>
    <row r="117">
      <c r="A117" s="1">
        <f>IF(B117="","",COUNTIF($R$4:$R$4803,B117))</f>
        <v/>
      </c>
      <c r="B117" s="1" t="n"/>
      <c r="C117" s="18">
        <f>IFERROR(
(
SUMIF('Q1'!$AM$14:$AM$613,B117,'Q1'!$T$14:$T$613)
+SUMIF('Q2'!$AM$14:$AM$613,B117,'Q2'!$T$14:$T$613)
)
/A117,"")</f>
        <v/>
      </c>
      <c r="R117">
        <f>'Q1'!AM127</f>
        <v/>
      </c>
    </row>
    <row r="118">
      <c r="A118" s="1">
        <f>IF(B118="","",COUNTIF($R$4:$R$4803,B118))</f>
        <v/>
      </c>
      <c r="B118" s="1" t="n"/>
      <c r="C118" s="18">
        <f>IFERROR(
(
SUMIF('Q1'!$AM$14:$AM$613,B118,'Q1'!$T$14:$T$613)
+SUMIF('Q2'!$AM$14:$AM$613,B118,'Q2'!$T$14:$T$613)
)
/A118,"")</f>
        <v/>
      </c>
      <c r="R118">
        <f>'Q1'!AM128</f>
        <v/>
      </c>
    </row>
    <row r="119">
      <c r="A119" s="1">
        <f>IF(B119="","",COUNTIF($R$4:$R$4803,B119))</f>
        <v/>
      </c>
      <c r="B119" s="1" t="n"/>
      <c r="C119" s="18">
        <f>IFERROR(
(
SUMIF('Q1'!$AM$14:$AM$613,B119,'Q1'!$T$14:$T$613)
+SUMIF('Q2'!$AM$14:$AM$613,B119,'Q2'!$T$14:$T$613)
)
/A119,"")</f>
        <v/>
      </c>
      <c r="R119">
        <f>'Q1'!AM129</f>
        <v/>
      </c>
    </row>
    <row r="120">
      <c r="A120" s="1">
        <f>IF(B120="","",COUNTIF($R$4:$R$4803,B120))</f>
        <v/>
      </c>
      <c r="B120" s="1" t="n"/>
      <c r="C120" s="18">
        <f>IFERROR(
(
SUMIF('Q1'!$AM$14:$AM$613,B120,'Q1'!$T$14:$T$613)
+SUMIF('Q2'!$AM$14:$AM$613,B120,'Q2'!$T$14:$T$613)
)
/A120,"")</f>
        <v/>
      </c>
      <c r="R120">
        <f>'Q1'!AM130</f>
        <v/>
      </c>
    </row>
    <row r="121">
      <c r="A121" s="1">
        <f>IF(B121="","",COUNTIF($R$4:$R$4803,B121))</f>
        <v/>
      </c>
      <c r="B121" s="1" t="n"/>
      <c r="C121" s="18">
        <f>IFERROR(
(
SUMIF('Q1'!$AM$14:$AM$613,B121,'Q1'!$T$14:$T$613)
+SUMIF('Q2'!$AM$14:$AM$613,B121,'Q2'!$T$14:$T$613)
)
/A121,"")</f>
        <v/>
      </c>
      <c r="R121">
        <f>'Q1'!AM131</f>
        <v/>
      </c>
    </row>
    <row r="122">
      <c r="A122" s="1">
        <f>IF(B122="","",COUNTIF($R$4:$R$4803,B122))</f>
        <v/>
      </c>
      <c r="B122" s="1" t="n"/>
      <c r="C122" s="18">
        <f>IFERROR(
(
SUMIF('Q1'!$AM$14:$AM$613,B122,'Q1'!$T$14:$T$613)
+SUMIF('Q2'!$AM$14:$AM$613,B122,'Q2'!$T$14:$T$613)
)
/A122,"")</f>
        <v/>
      </c>
      <c r="R122">
        <f>'Q1'!AM132</f>
        <v/>
      </c>
    </row>
    <row r="123">
      <c r="A123" s="1">
        <f>IF(B123="","",COUNTIF($R$4:$R$4803,B123))</f>
        <v/>
      </c>
      <c r="B123" s="1" t="n"/>
      <c r="C123" s="18">
        <f>IFERROR(
(
SUMIF('Q1'!$AM$14:$AM$613,B123,'Q1'!$T$14:$T$613)
+SUMIF('Q2'!$AM$14:$AM$613,B123,'Q2'!$T$14:$T$613)
)
/A123,"")</f>
        <v/>
      </c>
      <c r="R123">
        <f>'Q1'!AM133</f>
        <v/>
      </c>
    </row>
    <row r="124">
      <c r="A124" s="1">
        <f>IF(B124="","",COUNTIF($R$4:$R$4803,B124))</f>
        <v/>
      </c>
      <c r="B124" s="1" t="n"/>
      <c r="C124" s="18">
        <f>IFERROR(
(
SUMIF('Q1'!$AM$14:$AM$613,B124,'Q1'!$T$14:$T$613)
+SUMIF('Q2'!$AM$14:$AM$613,B124,'Q2'!$T$14:$T$613)
)
/A124,"")</f>
        <v/>
      </c>
      <c r="R124">
        <f>'Q1'!AM134</f>
        <v/>
      </c>
    </row>
    <row r="125">
      <c r="A125" s="1">
        <f>IF(B125="","",COUNTIF($R$4:$R$4803,B125))</f>
        <v/>
      </c>
      <c r="B125" s="1" t="n"/>
      <c r="C125" s="18">
        <f>IFERROR(
(
SUMIF('Q1'!$AM$14:$AM$613,B125,'Q1'!$T$14:$T$613)
+SUMIF('Q2'!$AM$14:$AM$613,B125,'Q2'!$T$14:$T$613)
)
/A125,"")</f>
        <v/>
      </c>
      <c r="R125">
        <f>'Q1'!AM135</f>
        <v/>
      </c>
    </row>
    <row r="126">
      <c r="A126" s="1">
        <f>IF(B126="","",COUNTIF($R$4:$R$4803,B126))</f>
        <v/>
      </c>
      <c r="B126" s="1" t="n"/>
      <c r="C126" s="18">
        <f>IFERROR(
(
SUMIF('Q1'!$AM$14:$AM$613,B126,'Q1'!$T$14:$T$613)
+SUMIF('Q2'!$AM$14:$AM$613,B126,'Q2'!$T$14:$T$613)
)
/A126,"")</f>
        <v/>
      </c>
      <c r="R126">
        <f>'Q1'!AM136</f>
        <v/>
      </c>
    </row>
    <row r="127">
      <c r="A127" s="1">
        <f>IF(B127="","",COUNTIF($R$4:$R$4803,B127))</f>
        <v/>
      </c>
      <c r="B127" s="1" t="n"/>
      <c r="C127" s="18">
        <f>IFERROR(
(
SUMIF('Q1'!$AM$14:$AM$613,B127,'Q1'!$T$14:$T$613)
+SUMIF('Q2'!$AM$14:$AM$613,B127,'Q2'!$T$14:$T$613)
)
/A127,"")</f>
        <v/>
      </c>
      <c r="R127">
        <f>'Q1'!AM137</f>
        <v/>
      </c>
    </row>
    <row r="128">
      <c r="A128" s="1">
        <f>IF(B128="","",COUNTIF($R$4:$R$4803,B128))</f>
        <v/>
      </c>
      <c r="B128" s="1" t="n"/>
      <c r="C128" s="18">
        <f>IFERROR(
(
SUMIF('Q1'!$AM$14:$AM$613,B128,'Q1'!$T$14:$T$613)
+SUMIF('Q2'!$AM$14:$AM$613,B128,'Q2'!$T$14:$T$613)
)
/A128,"")</f>
        <v/>
      </c>
      <c r="R128">
        <f>'Q1'!AM138</f>
        <v/>
      </c>
    </row>
    <row r="129">
      <c r="A129" s="1">
        <f>IF(B129="","",COUNTIF($R$4:$R$4803,B129))</f>
        <v/>
      </c>
      <c r="B129" s="1" t="n"/>
      <c r="C129" s="18">
        <f>IFERROR(
(
SUMIF('Q1'!$AM$14:$AM$613,B129,'Q1'!$T$14:$T$613)
+SUMIF('Q2'!$AM$14:$AM$613,B129,'Q2'!$T$14:$T$613)
)
/A129,"")</f>
        <v/>
      </c>
      <c r="R129">
        <f>'Q1'!AM139</f>
        <v/>
      </c>
    </row>
    <row r="130">
      <c r="A130" s="1">
        <f>IF(B130="","",COUNTIF($R$4:$R$4803,B130))</f>
        <v/>
      </c>
      <c r="B130" s="1" t="n"/>
      <c r="C130" s="18">
        <f>IFERROR(
(
SUMIF('Q1'!$AM$14:$AM$613,B130,'Q1'!$T$14:$T$613)
+SUMIF('Q2'!$AM$14:$AM$613,B130,'Q2'!$T$14:$T$613)
)
/A130,"")</f>
        <v/>
      </c>
      <c r="R130">
        <f>'Q1'!AM140</f>
        <v/>
      </c>
    </row>
    <row r="131">
      <c r="A131" s="1">
        <f>IF(B131="","",COUNTIF($R$4:$R$4803,B131))</f>
        <v/>
      </c>
      <c r="B131" s="1" t="n"/>
      <c r="C131" s="18">
        <f>IFERROR(
(
SUMIF('Q1'!$AM$14:$AM$613,B131,'Q1'!$T$14:$T$613)
+SUMIF('Q2'!$AM$14:$AM$613,B131,'Q2'!$T$14:$T$613)
)
/A131,"")</f>
        <v/>
      </c>
      <c r="R131">
        <f>'Q1'!AM141</f>
        <v/>
      </c>
    </row>
    <row r="132">
      <c r="A132" s="1">
        <f>IF(B132="","",COUNTIF($R$4:$R$4803,B132))</f>
        <v/>
      </c>
      <c r="B132" s="1" t="n"/>
      <c r="C132" s="18">
        <f>IFERROR(
(
SUMIF('Q1'!$AM$14:$AM$613,B132,'Q1'!$T$14:$T$613)
+SUMIF('Q2'!$AM$14:$AM$613,B132,'Q2'!$T$14:$T$613)
)
/A132,"")</f>
        <v/>
      </c>
      <c r="R132">
        <f>'Q1'!AM142</f>
        <v/>
      </c>
    </row>
    <row r="133">
      <c r="A133" s="1">
        <f>IF(B133="","",COUNTIF($R$4:$R$4803,B133))</f>
        <v/>
      </c>
      <c r="B133" s="1" t="n"/>
      <c r="C133" s="18">
        <f>IFERROR(
(
SUMIF('Q1'!$AM$14:$AM$613,B133,'Q1'!$T$14:$T$613)
+SUMIF('Q2'!$AM$14:$AM$613,B133,'Q2'!$T$14:$T$613)
)
/A133,"")</f>
        <v/>
      </c>
      <c r="R133">
        <f>'Q1'!AM143</f>
        <v/>
      </c>
    </row>
    <row r="134">
      <c r="A134" s="1">
        <f>IF(B134="","",COUNTIF($R$4:$R$4803,B134))</f>
        <v/>
      </c>
      <c r="B134" s="1" t="n"/>
      <c r="C134" s="18">
        <f>IFERROR(
(
SUMIF('Q1'!$AM$14:$AM$613,B134,'Q1'!$T$14:$T$613)
+SUMIF('Q2'!$AM$14:$AM$613,B134,'Q2'!$T$14:$T$613)
)
/A134,"")</f>
        <v/>
      </c>
      <c r="R134">
        <f>'Q1'!AM144</f>
        <v/>
      </c>
    </row>
    <row r="135">
      <c r="A135" s="1">
        <f>IF(B135="","",COUNTIF($R$4:$R$4803,B135))</f>
        <v/>
      </c>
      <c r="B135" s="1" t="n"/>
      <c r="C135" s="18">
        <f>IFERROR(
(
SUMIF('Q1'!$AM$14:$AM$613,B135,'Q1'!$T$14:$T$613)
+SUMIF('Q2'!$AM$14:$AM$613,B135,'Q2'!$T$14:$T$613)
)
/A135,"")</f>
        <v/>
      </c>
      <c r="R135">
        <f>'Q1'!AM145</f>
        <v/>
      </c>
    </row>
    <row r="136">
      <c r="A136" s="1">
        <f>IF(B136="","",COUNTIF($R$4:$R$4803,B136))</f>
        <v/>
      </c>
      <c r="B136" s="1" t="n"/>
      <c r="C136" s="18">
        <f>IFERROR(
(
SUMIF('Q1'!$AM$14:$AM$613,B136,'Q1'!$T$14:$T$613)
+SUMIF('Q2'!$AM$14:$AM$613,B136,'Q2'!$T$14:$T$613)
)
/A136,"")</f>
        <v/>
      </c>
      <c r="R136">
        <f>'Q1'!AM146</f>
        <v/>
      </c>
    </row>
    <row r="137">
      <c r="A137" s="1">
        <f>IF(B137="","",COUNTIF($R$4:$R$4803,B137))</f>
        <v/>
      </c>
      <c r="B137" s="1" t="n"/>
      <c r="C137" s="18">
        <f>IFERROR(
(
SUMIF('Q1'!$AM$14:$AM$613,B137,'Q1'!$T$14:$T$613)
+SUMIF('Q2'!$AM$14:$AM$613,B137,'Q2'!$T$14:$T$613)
)
/A137,"")</f>
        <v/>
      </c>
      <c r="R137">
        <f>'Q1'!AM147</f>
        <v/>
      </c>
    </row>
    <row r="138">
      <c r="A138" s="1">
        <f>IF(B138="","",COUNTIF($R$4:$R$4803,B138))</f>
        <v/>
      </c>
      <c r="B138" s="1" t="n"/>
      <c r="C138" s="18">
        <f>IFERROR(
(
SUMIF('Q1'!$AM$14:$AM$613,B138,'Q1'!$T$14:$T$613)
+SUMIF('Q2'!$AM$14:$AM$613,B138,'Q2'!$T$14:$T$613)
)
/A138,"")</f>
        <v/>
      </c>
      <c r="R138">
        <f>'Q1'!AM148</f>
        <v/>
      </c>
    </row>
    <row r="139">
      <c r="A139" s="1">
        <f>IF(B139="","",COUNTIF($R$4:$R$4803,B139))</f>
        <v/>
      </c>
      <c r="B139" s="1" t="n"/>
      <c r="C139" s="18">
        <f>IFERROR(
(
SUMIF('Q1'!$AM$14:$AM$613,B139,'Q1'!$T$14:$T$613)
+SUMIF('Q2'!$AM$14:$AM$613,B139,'Q2'!$T$14:$T$613)
)
/A139,"")</f>
        <v/>
      </c>
      <c r="R139">
        <f>'Q1'!AM149</f>
        <v/>
      </c>
    </row>
    <row r="140">
      <c r="A140" s="1">
        <f>IF(B140="","",COUNTIF($R$4:$R$4803,B140))</f>
        <v/>
      </c>
      <c r="B140" s="1" t="n"/>
      <c r="C140" s="18">
        <f>IFERROR(
(
SUMIF('Q1'!$AM$14:$AM$613,B140,'Q1'!$T$14:$T$613)
+SUMIF('Q2'!$AM$14:$AM$613,B140,'Q2'!$T$14:$T$613)
)
/A140,"")</f>
        <v/>
      </c>
      <c r="R140">
        <f>'Q1'!AM150</f>
        <v/>
      </c>
    </row>
    <row r="141">
      <c r="A141" s="1">
        <f>IF(B141="","",COUNTIF($R$4:$R$4803,B141))</f>
        <v/>
      </c>
      <c r="B141" s="1" t="n"/>
      <c r="C141" s="18">
        <f>IFERROR(
(
SUMIF('Q1'!$AM$14:$AM$613,B141,'Q1'!$T$14:$T$613)
+SUMIF('Q2'!$AM$14:$AM$613,B141,'Q2'!$T$14:$T$613)
)
/A141,"")</f>
        <v/>
      </c>
      <c r="R141">
        <f>'Q1'!AM151</f>
        <v/>
      </c>
    </row>
    <row r="142">
      <c r="A142" s="1">
        <f>IF(B142="","",COUNTIF($R$4:$R$4803,B142))</f>
        <v/>
      </c>
      <c r="B142" s="1" t="n"/>
      <c r="C142" s="18">
        <f>IFERROR(
(
SUMIF('Q1'!$AM$14:$AM$613,B142,'Q1'!$T$14:$T$613)
+SUMIF('Q2'!$AM$14:$AM$613,B142,'Q2'!$T$14:$T$613)
)
/A142,"")</f>
        <v/>
      </c>
      <c r="R142">
        <f>'Q1'!AM152</f>
        <v/>
      </c>
    </row>
    <row r="143">
      <c r="A143" s="1">
        <f>IF(B143="","",COUNTIF($R$4:$R$4803,B143))</f>
        <v/>
      </c>
      <c r="B143" s="1" t="n"/>
      <c r="C143" s="18">
        <f>IFERROR(
(
SUMIF('Q1'!$AM$14:$AM$613,B143,'Q1'!$T$14:$T$613)
+SUMIF('Q2'!$AM$14:$AM$613,B143,'Q2'!$T$14:$T$613)
)
/A143,"")</f>
        <v/>
      </c>
      <c r="R143">
        <f>'Q1'!AM153</f>
        <v/>
      </c>
    </row>
    <row r="144">
      <c r="A144" s="1">
        <f>IF(B144="","",COUNTIF($R$4:$R$4803,B144))</f>
        <v/>
      </c>
      <c r="B144" s="1" t="n"/>
      <c r="C144" s="18">
        <f>IFERROR(
(
SUMIF('Q1'!$AM$14:$AM$613,B144,'Q1'!$T$14:$T$613)
+SUMIF('Q2'!$AM$14:$AM$613,B144,'Q2'!$T$14:$T$613)
)
/A144,"")</f>
        <v/>
      </c>
      <c r="R144">
        <f>'Q1'!AM154</f>
        <v/>
      </c>
    </row>
    <row r="145">
      <c r="A145" s="1">
        <f>IF(B145="","",COUNTIF($R$4:$R$4803,B145))</f>
        <v/>
      </c>
      <c r="B145" s="1" t="n"/>
      <c r="C145" s="18">
        <f>IFERROR(
(
SUMIF('Q1'!$AM$14:$AM$613,B145,'Q1'!$T$14:$T$613)
+SUMIF('Q2'!$AM$14:$AM$613,B145,'Q2'!$T$14:$T$613)
)
/A145,"")</f>
        <v/>
      </c>
      <c r="R145">
        <f>'Q1'!AM155</f>
        <v/>
      </c>
    </row>
    <row r="146">
      <c r="A146" s="1">
        <f>IF(B146="","",COUNTIF($R$4:$R$4803,B146))</f>
        <v/>
      </c>
      <c r="B146" s="1" t="n"/>
      <c r="C146" s="18">
        <f>IFERROR(
(
SUMIF('Q1'!$AM$14:$AM$613,B146,'Q1'!$T$14:$T$613)
+SUMIF('Q2'!$AM$14:$AM$613,B146,'Q2'!$T$14:$T$613)
)
/A146,"")</f>
        <v/>
      </c>
      <c r="R146">
        <f>'Q1'!AM156</f>
        <v/>
      </c>
    </row>
    <row r="147">
      <c r="A147" s="1">
        <f>IF(B147="","",COUNTIF($R$4:$R$4803,B147))</f>
        <v/>
      </c>
      <c r="B147" s="1" t="n"/>
      <c r="C147" s="18">
        <f>IFERROR(
(
SUMIF('Q1'!$AM$14:$AM$613,B147,'Q1'!$T$14:$T$613)
+SUMIF('Q2'!$AM$14:$AM$613,B147,'Q2'!$T$14:$T$613)
)
/A147,"")</f>
        <v/>
      </c>
      <c r="R147">
        <f>'Q1'!AM157</f>
        <v/>
      </c>
    </row>
    <row r="148">
      <c r="A148" s="1">
        <f>IF(B148="","",COUNTIF($R$4:$R$4803,B148))</f>
        <v/>
      </c>
      <c r="B148" s="1" t="n"/>
      <c r="C148" s="18">
        <f>IFERROR(
(
SUMIF('Q1'!$AM$14:$AM$613,B148,'Q1'!$T$14:$T$613)
+SUMIF('Q2'!$AM$14:$AM$613,B148,'Q2'!$T$14:$T$613)
)
/A148,"")</f>
        <v/>
      </c>
      <c r="R148">
        <f>'Q1'!AM158</f>
        <v/>
      </c>
    </row>
    <row r="149">
      <c r="A149" s="1">
        <f>IF(B149="","",COUNTIF($R$4:$R$4803,B149))</f>
        <v/>
      </c>
      <c r="B149" s="1" t="n"/>
      <c r="C149" s="18">
        <f>IFERROR(
(
SUMIF('Q1'!$AM$14:$AM$613,B149,'Q1'!$T$14:$T$613)
+SUMIF('Q2'!$AM$14:$AM$613,B149,'Q2'!$T$14:$T$613)
)
/A149,"")</f>
        <v/>
      </c>
      <c r="R149">
        <f>'Q1'!AM159</f>
        <v/>
      </c>
    </row>
    <row r="150">
      <c r="A150" s="1">
        <f>IF(B150="","",COUNTIF($R$4:$R$4803,B150))</f>
        <v/>
      </c>
      <c r="B150" s="1" t="n"/>
      <c r="C150" s="18">
        <f>IFERROR(
(
SUMIF('Q1'!$AM$14:$AM$613,B150,'Q1'!$T$14:$T$613)
+SUMIF('Q2'!$AM$14:$AM$613,B150,'Q2'!$T$14:$T$613)
)
/A150,"")</f>
        <v/>
      </c>
      <c r="R150">
        <f>'Q1'!AM160</f>
        <v/>
      </c>
    </row>
    <row r="151">
      <c r="A151" s="1">
        <f>IF(B151="","",COUNTIF($R$4:$R$4803,B151))</f>
        <v/>
      </c>
      <c r="B151" s="1" t="n"/>
      <c r="C151" s="18">
        <f>IFERROR(
(
SUMIF('Q1'!$AM$14:$AM$613,B151,'Q1'!$T$14:$T$613)
+SUMIF('Q2'!$AM$14:$AM$613,B151,'Q2'!$T$14:$T$613)
)
/A151,"")</f>
        <v/>
      </c>
      <c r="R151">
        <f>'Q1'!AM161</f>
        <v/>
      </c>
    </row>
    <row r="152">
      <c r="A152" s="1">
        <f>IF(B152="","",COUNTIF($R$4:$R$4803,B152))</f>
        <v/>
      </c>
      <c r="B152" s="1" t="n"/>
      <c r="C152" s="18">
        <f>IFERROR(
(
SUMIF('Q1'!$AM$14:$AM$613,B152,'Q1'!$T$14:$T$613)
+SUMIF('Q2'!$AM$14:$AM$613,B152,'Q2'!$T$14:$T$613)
)
/A152,"")</f>
        <v/>
      </c>
      <c r="R152">
        <f>'Q1'!AM162</f>
        <v/>
      </c>
    </row>
    <row r="153">
      <c r="A153" s="1">
        <f>IF(B153="","",COUNTIF($R$4:$R$4803,B153))</f>
        <v/>
      </c>
      <c r="B153" s="1" t="n"/>
      <c r="C153" s="18">
        <f>IFERROR(
(
SUMIF('Q1'!$AM$14:$AM$613,B153,'Q1'!$T$14:$T$613)
+SUMIF('Q2'!$AM$14:$AM$613,B153,'Q2'!$T$14:$T$613)
)
/A153,"")</f>
        <v/>
      </c>
      <c r="R153">
        <f>'Q1'!AM163</f>
        <v/>
      </c>
    </row>
    <row r="154">
      <c r="A154" s="1">
        <f>IF(B154="","",COUNTIF($R$4:$R$4803,B154))</f>
        <v/>
      </c>
      <c r="B154" s="1" t="n"/>
      <c r="C154" s="18">
        <f>IFERROR(
(
SUMIF('Q1'!$AM$14:$AM$613,B154,'Q1'!$T$14:$T$613)
+SUMIF('Q2'!$AM$14:$AM$613,B154,'Q2'!$T$14:$T$613)
)
/A154,"")</f>
        <v/>
      </c>
      <c r="R154">
        <f>'Q1'!AM164</f>
        <v/>
      </c>
    </row>
    <row r="155">
      <c r="A155" s="1">
        <f>IF(B155="","",COUNTIF($R$4:$R$4803,B155))</f>
        <v/>
      </c>
      <c r="B155" s="1" t="n"/>
      <c r="C155" s="18">
        <f>IFERROR(
(
SUMIF('Q1'!$AM$14:$AM$613,B155,'Q1'!$T$14:$T$613)
+SUMIF('Q2'!$AM$14:$AM$613,B155,'Q2'!$T$14:$T$613)
)
/A155,"")</f>
        <v/>
      </c>
      <c r="R155">
        <f>'Q1'!AM165</f>
        <v/>
      </c>
    </row>
    <row r="156">
      <c r="A156" s="1">
        <f>IF(B156="","",COUNTIF($R$4:$R$4803,B156))</f>
        <v/>
      </c>
      <c r="B156" s="1" t="n"/>
      <c r="C156" s="18">
        <f>IFERROR(
(
SUMIF('Q1'!$AM$14:$AM$613,B156,'Q1'!$T$14:$T$613)
+SUMIF('Q2'!$AM$14:$AM$613,B156,'Q2'!$T$14:$T$613)
)
/A156,"")</f>
        <v/>
      </c>
      <c r="R156">
        <f>'Q1'!AM166</f>
        <v/>
      </c>
    </row>
    <row r="157">
      <c r="A157" s="1">
        <f>IF(B157="","",COUNTIF($R$4:$R$4803,B157))</f>
        <v/>
      </c>
      <c r="B157" s="1" t="n"/>
      <c r="C157" s="18">
        <f>IFERROR(
(
SUMIF('Q1'!$AM$14:$AM$613,B157,'Q1'!$T$14:$T$613)
+SUMIF('Q2'!$AM$14:$AM$613,B157,'Q2'!$T$14:$T$613)
)
/A157,"")</f>
        <v/>
      </c>
      <c r="R157">
        <f>'Q1'!AM167</f>
        <v/>
      </c>
    </row>
    <row r="158">
      <c r="A158" s="1">
        <f>IF(B158="","",COUNTIF($R$4:$R$4803,B158))</f>
        <v/>
      </c>
      <c r="B158" s="1" t="n"/>
      <c r="C158" s="18">
        <f>IFERROR(
(
SUMIF('Q1'!$AM$14:$AM$613,B158,'Q1'!$T$14:$T$613)
+SUMIF('Q2'!$AM$14:$AM$613,B158,'Q2'!$T$14:$T$613)
)
/A158,"")</f>
        <v/>
      </c>
      <c r="R158">
        <f>'Q1'!AM168</f>
        <v/>
      </c>
    </row>
    <row r="159">
      <c r="A159" s="1">
        <f>IF(B159="","",COUNTIF($R$4:$R$4803,B159))</f>
        <v/>
      </c>
      <c r="B159" s="1" t="n"/>
      <c r="C159" s="18">
        <f>IFERROR(
(
SUMIF('Q1'!$AM$14:$AM$613,B159,'Q1'!$T$14:$T$613)
+SUMIF('Q2'!$AM$14:$AM$613,B159,'Q2'!$T$14:$T$613)
)
/A159,"")</f>
        <v/>
      </c>
      <c r="R159">
        <f>'Q1'!AM169</f>
        <v/>
      </c>
    </row>
    <row r="160">
      <c r="A160" s="1">
        <f>IF(B160="","",COUNTIF($R$4:$R$4803,B160))</f>
        <v/>
      </c>
      <c r="B160" s="1" t="n"/>
      <c r="C160" s="18">
        <f>IFERROR(
(
SUMIF('Q1'!$AM$14:$AM$613,B160,'Q1'!$T$14:$T$613)
+SUMIF('Q2'!$AM$14:$AM$613,B160,'Q2'!$T$14:$T$613)
)
/A160,"")</f>
        <v/>
      </c>
      <c r="R160">
        <f>'Q1'!AM170</f>
        <v/>
      </c>
    </row>
    <row r="161">
      <c r="A161" s="1">
        <f>IF(B161="","",COUNTIF($R$4:$R$4803,B161))</f>
        <v/>
      </c>
      <c r="B161" s="1" t="n"/>
      <c r="C161" s="18">
        <f>IFERROR(
(
SUMIF('Q1'!$AM$14:$AM$613,B161,'Q1'!$T$14:$T$613)
+SUMIF('Q2'!$AM$14:$AM$613,B161,'Q2'!$T$14:$T$613)
)
/A161,"")</f>
        <v/>
      </c>
      <c r="R161">
        <f>'Q1'!AM171</f>
        <v/>
      </c>
    </row>
    <row r="162">
      <c r="A162" s="1">
        <f>IF(B162="","",COUNTIF($R$4:$R$4803,B162))</f>
        <v/>
      </c>
      <c r="B162" s="1" t="n"/>
      <c r="C162" s="18">
        <f>IFERROR(
(
SUMIF('Q1'!$AM$14:$AM$613,B162,'Q1'!$T$14:$T$613)
+SUMIF('Q2'!$AM$14:$AM$613,B162,'Q2'!$T$14:$T$613)
)
/A162,"")</f>
        <v/>
      </c>
      <c r="R162">
        <f>'Q1'!AM172</f>
        <v/>
      </c>
    </row>
    <row r="163">
      <c r="A163" s="1">
        <f>IF(B163="","",COUNTIF($R$4:$R$4803,B163))</f>
        <v/>
      </c>
      <c r="B163" s="1" t="n"/>
      <c r="C163" s="18">
        <f>IFERROR(
(
SUMIF('Q1'!$AM$14:$AM$613,B163,'Q1'!$T$14:$T$613)
+SUMIF('Q2'!$AM$14:$AM$613,B163,'Q2'!$T$14:$T$613)
)
/A163,"")</f>
        <v/>
      </c>
      <c r="R163">
        <f>'Q1'!AM173</f>
        <v/>
      </c>
    </row>
    <row r="164">
      <c r="A164" s="1">
        <f>IF(B164="","",COUNTIF($R$4:$R$4803,B164))</f>
        <v/>
      </c>
      <c r="B164" s="1" t="n"/>
      <c r="C164" s="18">
        <f>IFERROR(
(
SUMIF('Q1'!$AM$14:$AM$613,B164,'Q1'!$T$14:$T$613)
+SUMIF('Q2'!$AM$14:$AM$613,B164,'Q2'!$T$14:$T$613)
)
/A164,"")</f>
        <v/>
      </c>
      <c r="R164">
        <f>'Q1'!AM174</f>
        <v/>
      </c>
    </row>
    <row r="165">
      <c r="A165" s="1">
        <f>IF(B165="","",COUNTIF($R$4:$R$4803,B165))</f>
        <v/>
      </c>
      <c r="B165" s="1" t="n"/>
      <c r="C165" s="18">
        <f>IFERROR(
(
SUMIF('Q1'!$AM$14:$AM$613,B165,'Q1'!$T$14:$T$613)
+SUMIF('Q2'!$AM$14:$AM$613,B165,'Q2'!$T$14:$T$613)
)
/A165,"")</f>
        <v/>
      </c>
      <c r="R165">
        <f>'Q1'!AM175</f>
        <v/>
      </c>
    </row>
    <row r="166">
      <c r="A166" s="1">
        <f>IF(B166="","",COUNTIF($R$4:$R$4803,B166))</f>
        <v/>
      </c>
      <c r="B166" s="1" t="n"/>
      <c r="C166" s="18">
        <f>IFERROR(
(
SUMIF('Q1'!$AM$14:$AM$613,B166,'Q1'!$T$14:$T$613)
+SUMIF('Q2'!$AM$14:$AM$613,B166,'Q2'!$T$14:$T$613)
)
/A166,"")</f>
        <v/>
      </c>
      <c r="R166">
        <f>'Q1'!AM176</f>
        <v/>
      </c>
    </row>
    <row r="167">
      <c r="A167" s="1">
        <f>IF(B167="","",COUNTIF($R$4:$R$4803,B167))</f>
        <v/>
      </c>
      <c r="B167" s="1" t="n"/>
      <c r="C167" s="18">
        <f>IFERROR(
(
SUMIF('Q1'!$AM$14:$AM$613,B167,'Q1'!$T$14:$T$613)
+SUMIF('Q2'!$AM$14:$AM$613,B167,'Q2'!$T$14:$T$613)
)
/A167,"")</f>
        <v/>
      </c>
      <c r="R167">
        <f>'Q1'!AM177</f>
        <v/>
      </c>
    </row>
    <row r="168">
      <c r="A168" s="1">
        <f>IF(B168="","",COUNTIF($R$4:$R$4803,B168))</f>
        <v/>
      </c>
      <c r="B168" s="1" t="n"/>
      <c r="C168" s="18">
        <f>IFERROR(
(
SUMIF('Q1'!$AM$14:$AM$613,B168,'Q1'!$T$14:$T$613)
+SUMIF('Q2'!$AM$14:$AM$613,B168,'Q2'!$T$14:$T$613)
)
/A168,"")</f>
        <v/>
      </c>
      <c r="R168">
        <f>'Q1'!AM178</f>
        <v/>
      </c>
    </row>
    <row r="169">
      <c r="A169" s="1">
        <f>IF(B169="","",COUNTIF($R$4:$R$4803,B169))</f>
        <v/>
      </c>
      <c r="B169" s="1" t="n"/>
      <c r="C169" s="18">
        <f>IFERROR(
(
SUMIF('Q1'!$AM$14:$AM$613,B169,'Q1'!$T$14:$T$613)
+SUMIF('Q2'!$AM$14:$AM$613,B169,'Q2'!$T$14:$T$613)
)
/A169,"")</f>
        <v/>
      </c>
      <c r="R169">
        <f>'Q1'!AM179</f>
        <v/>
      </c>
    </row>
    <row r="170">
      <c r="A170" s="1">
        <f>IF(B170="","",COUNTIF($R$4:$R$4803,B170))</f>
        <v/>
      </c>
      <c r="B170" s="1" t="n"/>
      <c r="C170" s="18">
        <f>IFERROR(
(
SUMIF('Q1'!$AM$14:$AM$613,B170,'Q1'!$T$14:$T$613)
+SUMIF('Q2'!$AM$14:$AM$613,B170,'Q2'!$T$14:$T$613)
)
/A170,"")</f>
        <v/>
      </c>
      <c r="R170">
        <f>'Q1'!AM180</f>
        <v/>
      </c>
    </row>
    <row r="171">
      <c r="A171" s="1">
        <f>IF(B171="","",COUNTIF($R$4:$R$4803,B171))</f>
        <v/>
      </c>
      <c r="B171" s="1" t="n"/>
      <c r="C171" s="18">
        <f>IFERROR(
(
SUMIF('Q1'!$AM$14:$AM$613,B171,'Q1'!$T$14:$T$613)
+SUMIF('Q2'!$AM$14:$AM$613,B171,'Q2'!$T$14:$T$613)
)
/A171,"")</f>
        <v/>
      </c>
      <c r="R171">
        <f>'Q1'!AM181</f>
        <v/>
      </c>
    </row>
    <row r="172">
      <c r="A172" s="1">
        <f>IF(B172="","",COUNTIF($R$4:$R$4803,B172))</f>
        <v/>
      </c>
      <c r="B172" s="1" t="n"/>
      <c r="C172" s="18">
        <f>IFERROR(
(
SUMIF('Q1'!$AM$14:$AM$613,B172,'Q1'!$T$14:$T$613)
+SUMIF('Q2'!$AM$14:$AM$613,B172,'Q2'!$T$14:$T$613)
)
/A172,"")</f>
        <v/>
      </c>
      <c r="R172">
        <f>'Q1'!AM182</f>
        <v/>
      </c>
    </row>
    <row r="173">
      <c r="A173" s="1">
        <f>IF(B173="","",COUNTIF($R$4:$R$4803,B173))</f>
        <v/>
      </c>
      <c r="B173" s="1" t="n"/>
      <c r="C173" s="18">
        <f>IFERROR(
(
SUMIF('Q1'!$AM$14:$AM$613,B173,'Q1'!$T$14:$T$613)
+SUMIF('Q2'!$AM$14:$AM$613,B173,'Q2'!$T$14:$T$613)
)
/A173,"")</f>
        <v/>
      </c>
      <c r="R173">
        <f>'Q1'!AM183</f>
        <v/>
      </c>
    </row>
    <row r="174">
      <c r="A174" s="1">
        <f>IF(B174="","",COUNTIF($R$4:$R$4803,B174))</f>
        <v/>
      </c>
      <c r="B174" s="1" t="n"/>
      <c r="C174" s="18">
        <f>IFERROR(
(
SUMIF('Q1'!$AM$14:$AM$613,B174,'Q1'!$T$14:$T$613)
+SUMIF('Q2'!$AM$14:$AM$613,B174,'Q2'!$T$14:$T$613)
)
/A174,"")</f>
        <v/>
      </c>
      <c r="R174">
        <f>'Q1'!AM184</f>
        <v/>
      </c>
    </row>
    <row r="175">
      <c r="A175" s="1">
        <f>IF(B175="","",COUNTIF($R$4:$R$4803,B175))</f>
        <v/>
      </c>
      <c r="B175" s="1" t="n"/>
      <c r="C175" s="18">
        <f>IFERROR(
(
SUMIF('Q1'!$AM$14:$AM$613,B175,'Q1'!$T$14:$T$613)
+SUMIF('Q2'!$AM$14:$AM$613,B175,'Q2'!$T$14:$T$613)
)
/A175,"")</f>
        <v/>
      </c>
      <c r="R175">
        <f>'Q1'!AM185</f>
        <v/>
      </c>
    </row>
    <row r="176">
      <c r="A176" s="1">
        <f>IF(B176="","",COUNTIF($R$4:$R$4803,B176))</f>
        <v/>
      </c>
      <c r="B176" s="1" t="n"/>
      <c r="C176" s="18">
        <f>IFERROR(
(
SUMIF('Q1'!$AM$14:$AM$613,B176,'Q1'!$T$14:$T$613)
+SUMIF('Q2'!$AM$14:$AM$613,B176,'Q2'!$T$14:$T$613)
)
/A176,"")</f>
        <v/>
      </c>
      <c r="R176">
        <f>'Q1'!AM186</f>
        <v/>
      </c>
    </row>
    <row r="177">
      <c r="A177" s="1">
        <f>IF(B177="","",COUNTIF($R$4:$R$4803,B177))</f>
        <v/>
      </c>
      <c r="B177" s="1" t="n"/>
      <c r="C177" s="18">
        <f>IFERROR(
(
SUMIF('Q1'!$AM$14:$AM$613,B177,'Q1'!$T$14:$T$613)
+SUMIF('Q2'!$AM$14:$AM$613,B177,'Q2'!$T$14:$T$613)
)
/A177,"")</f>
        <v/>
      </c>
      <c r="R177">
        <f>'Q1'!AM187</f>
        <v/>
      </c>
    </row>
    <row r="178">
      <c r="A178" s="1">
        <f>IF(B178="","",COUNTIF($R$4:$R$4803,B178))</f>
        <v/>
      </c>
      <c r="B178" s="1" t="n"/>
      <c r="C178" s="18">
        <f>IFERROR(
(
SUMIF('Q1'!$AM$14:$AM$613,B178,'Q1'!$T$14:$T$613)
+SUMIF('Q2'!$AM$14:$AM$613,B178,'Q2'!$T$14:$T$613)
)
/A178,"")</f>
        <v/>
      </c>
      <c r="R178">
        <f>'Q1'!AM188</f>
        <v/>
      </c>
    </row>
    <row r="179">
      <c r="A179" s="1">
        <f>IF(B179="","",COUNTIF($R$4:$R$4803,B179))</f>
        <v/>
      </c>
      <c r="B179" s="1" t="n"/>
      <c r="C179" s="18">
        <f>IFERROR(
(
SUMIF('Q1'!$AM$14:$AM$613,B179,'Q1'!$T$14:$T$613)
+SUMIF('Q2'!$AM$14:$AM$613,B179,'Q2'!$T$14:$T$613)
)
/A179,"")</f>
        <v/>
      </c>
      <c r="R179">
        <f>'Q1'!AM189</f>
        <v/>
      </c>
    </row>
    <row r="180">
      <c r="A180" s="1">
        <f>IF(B180="","",COUNTIF($R$4:$R$4803,B180))</f>
        <v/>
      </c>
      <c r="B180" s="1" t="n"/>
      <c r="C180" s="18">
        <f>IFERROR(
(
SUMIF('Q1'!$AM$14:$AM$613,B180,'Q1'!$T$14:$T$613)
+SUMIF('Q2'!$AM$14:$AM$613,B180,'Q2'!$T$14:$T$613)
)
/A180,"")</f>
        <v/>
      </c>
      <c r="R180">
        <f>'Q1'!AM190</f>
        <v/>
      </c>
    </row>
    <row r="181">
      <c r="A181" s="1">
        <f>IF(B181="","",COUNTIF($R$4:$R$4803,B181))</f>
        <v/>
      </c>
      <c r="B181" s="1" t="n"/>
      <c r="C181" s="18">
        <f>IFERROR(
(
SUMIF('Q1'!$AM$14:$AM$613,B181,'Q1'!$T$14:$T$613)
+SUMIF('Q2'!$AM$14:$AM$613,B181,'Q2'!$T$14:$T$613)
)
/A181,"")</f>
        <v/>
      </c>
      <c r="R181">
        <f>'Q1'!AM191</f>
        <v/>
      </c>
    </row>
    <row r="182">
      <c r="A182" s="1">
        <f>IF(B182="","",COUNTIF($R$4:$R$4803,B182))</f>
        <v/>
      </c>
      <c r="B182" s="1" t="n"/>
      <c r="C182" s="18">
        <f>IFERROR(
(
SUMIF('Q1'!$AM$14:$AM$613,B182,'Q1'!$T$14:$T$613)
+SUMIF('Q2'!$AM$14:$AM$613,B182,'Q2'!$T$14:$T$613)
)
/A182,"")</f>
        <v/>
      </c>
      <c r="R182">
        <f>'Q1'!AM192</f>
        <v/>
      </c>
    </row>
    <row r="183">
      <c r="A183" s="1">
        <f>IF(B183="","",COUNTIF($R$4:$R$4803,B183))</f>
        <v/>
      </c>
      <c r="B183" s="1" t="n"/>
      <c r="C183" s="18">
        <f>IFERROR(
(
SUMIF('Q1'!$AM$14:$AM$613,B183,'Q1'!$T$14:$T$613)
+SUMIF('Q2'!$AM$14:$AM$613,B183,'Q2'!$T$14:$T$613)
)
/A183,"")</f>
        <v/>
      </c>
      <c r="R183">
        <f>'Q1'!AM193</f>
        <v/>
      </c>
    </row>
    <row r="184">
      <c r="A184" s="1">
        <f>IF(B184="","",COUNTIF($R$4:$R$4803,B184))</f>
        <v/>
      </c>
      <c r="B184" s="1" t="n"/>
      <c r="C184" s="18">
        <f>IFERROR(
(
SUMIF('Q1'!$AM$14:$AM$613,B184,'Q1'!$T$14:$T$613)
+SUMIF('Q2'!$AM$14:$AM$613,B184,'Q2'!$T$14:$T$613)
)
/A184,"")</f>
        <v/>
      </c>
      <c r="R184">
        <f>'Q1'!AM194</f>
        <v/>
      </c>
    </row>
    <row r="185">
      <c r="A185" s="1">
        <f>IF(B185="","",COUNTIF($R$4:$R$4803,B185))</f>
        <v/>
      </c>
      <c r="B185" s="1" t="n"/>
      <c r="C185" s="18">
        <f>IFERROR(
(
SUMIF('Q1'!$AM$14:$AM$613,B185,'Q1'!$T$14:$T$613)
+SUMIF('Q2'!$AM$14:$AM$613,B185,'Q2'!$T$14:$T$613)
)
/A185,"")</f>
        <v/>
      </c>
      <c r="R185">
        <f>'Q1'!AM195</f>
        <v/>
      </c>
    </row>
    <row r="186">
      <c r="A186" s="1">
        <f>IF(B186="","",COUNTIF($R$4:$R$4803,B186))</f>
        <v/>
      </c>
      <c r="B186" s="1" t="n"/>
      <c r="C186" s="18">
        <f>IFERROR(
(
SUMIF('Q1'!$AM$14:$AM$613,B186,'Q1'!$T$14:$T$613)
+SUMIF('Q2'!$AM$14:$AM$613,B186,'Q2'!$T$14:$T$613)
)
/A186,"")</f>
        <v/>
      </c>
      <c r="R186">
        <f>'Q1'!AM196</f>
        <v/>
      </c>
    </row>
    <row r="187">
      <c r="A187" s="1">
        <f>IF(B187="","",COUNTIF($R$4:$R$4803,B187))</f>
        <v/>
      </c>
      <c r="B187" s="1" t="n"/>
      <c r="C187" s="18">
        <f>IFERROR(
(
SUMIF('Q1'!$AM$14:$AM$613,B187,'Q1'!$T$14:$T$613)
+SUMIF('Q2'!$AM$14:$AM$613,B187,'Q2'!$T$14:$T$613)
)
/A187,"")</f>
        <v/>
      </c>
      <c r="R187">
        <f>'Q1'!AM197</f>
        <v/>
      </c>
    </row>
    <row r="188">
      <c r="A188" s="1">
        <f>IF(B188="","",COUNTIF($R$4:$R$4803,B188))</f>
        <v/>
      </c>
      <c r="B188" s="1" t="n"/>
      <c r="C188" s="18">
        <f>IFERROR(
(
SUMIF('Q1'!$AM$14:$AM$613,B188,'Q1'!$T$14:$T$613)
+SUMIF('Q2'!$AM$14:$AM$613,B188,'Q2'!$T$14:$T$613)
)
/A188,"")</f>
        <v/>
      </c>
      <c r="R188">
        <f>'Q1'!AM198</f>
        <v/>
      </c>
    </row>
    <row r="189">
      <c r="A189" s="1">
        <f>IF(B189="","",COUNTIF($R$4:$R$4803,B189))</f>
        <v/>
      </c>
      <c r="B189" s="1" t="n"/>
      <c r="C189" s="18">
        <f>IFERROR(
(
SUMIF('Q1'!$AM$14:$AM$613,B189,'Q1'!$T$14:$T$613)
+SUMIF('Q2'!$AM$14:$AM$613,B189,'Q2'!$T$14:$T$613)
)
/A189,"")</f>
        <v/>
      </c>
      <c r="R189">
        <f>'Q1'!AM199</f>
        <v/>
      </c>
    </row>
    <row r="190">
      <c r="A190" s="1">
        <f>IF(B190="","",COUNTIF($R$4:$R$4803,B190))</f>
        <v/>
      </c>
      <c r="B190" s="1" t="n"/>
      <c r="C190" s="18">
        <f>IFERROR(
(
SUMIF('Q1'!$AM$14:$AM$613,B190,'Q1'!$T$14:$T$613)
+SUMIF('Q2'!$AM$14:$AM$613,B190,'Q2'!$T$14:$T$613)
)
/A190,"")</f>
        <v/>
      </c>
      <c r="R190">
        <f>'Q1'!AM200</f>
        <v/>
      </c>
    </row>
    <row r="191">
      <c r="A191" s="1">
        <f>IF(B191="","",COUNTIF($R$4:$R$4803,B191))</f>
        <v/>
      </c>
      <c r="B191" s="1" t="n"/>
      <c r="C191" s="18">
        <f>IFERROR(
(
SUMIF('Q1'!$AM$14:$AM$613,B191,'Q1'!$T$14:$T$613)
+SUMIF('Q2'!$AM$14:$AM$613,B191,'Q2'!$T$14:$T$613)
)
/A191,"")</f>
        <v/>
      </c>
      <c r="R191">
        <f>'Q1'!AM201</f>
        <v/>
      </c>
    </row>
    <row r="192">
      <c r="A192" s="1">
        <f>IF(B192="","",COUNTIF($R$4:$R$4803,B192))</f>
        <v/>
      </c>
      <c r="B192" s="1" t="n"/>
      <c r="C192" s="18">
        <f>IFERROR(
(
SUMIF('Q1'!$AM$14:$AM$613,B192,'Q1'!$T$14:$T$613)
+SUMIF('Q2'!$AM$14:$AM$613,B192,'Q2'!$T$14:$T$613)
)
/A192,"")</f>
        <v/>
      </c>
      <c r="R192">
        <f>'Q1'!AM202</f>
        <v/>
      </c>
    </row>
    <row r="193">
      <c r="A193" s="1">
        <f>IF(B193="","",COUNTIF($R$4:$R$4803,B193))</f>
        <v/>
      </c>
      <c r="B193" s="1" t="n"/>
      <c r="C193" s="18">
        <f>IFERROR(
(
SUMIF('Q1'!$AM$14:$AM$613,B193,'Q1'!$T$14:$T$613)
+SUMIF('Q2'!$AM$14:$AM$613,B193,'Q2'!$T$14:$T$613)
)
/A193,"")</f>
        <v/>
      </c>
      <c r="R193">
        <f>'Q1'!AM203</f>
        <v/>
      </c>
    </row>
    <row r="194">
      <c r="A194" s="1">
        <f>IF(B194="","",COUNTIF($R$4:$R$4803,B194))</f>
        <v/>
      </c>
      <c r="B194" s="1" t="n"/>
      <c r="C194" s="18">
        <f>IFERROR(
(
SUMIF('Q1'!$AM$14:$AM$613,B194,'Q1'!$T$14:$T$613)
+SUMIF('Q2'!$AM$14:$AM$613,B194,'Q2'!$T$14:$T$613)
)
/A194,"")</f>
        <v/>
      </c>
      <c r="R194">
        <f>'Q1'!AM204</f>
        <v/>
      </c>
    </row>
    <row r="195">
      <c r="A195" s="1">
        <f>IF(B195="","",COUNTIF($R$4:$R$4803,B195))</f>
        <v/>
      </c>
      <c r="B195" s="1" t="n"/>
      <c r="C195" s="18">
        <f>IFERROR(
(
SUMIF('Q1'!$AM$14:$AM$613,B195,'Q1'!$T$14:$T$613)
+SUMIF('Q2'!$AM$14:$AM$613,B195,'Q2'!$T$14:$T$613)
)
/A195,"")</f>
        <v/>
      </c>
      <c r="R195">
        <f>'Q1'!AM205</f>
        <v/>
      </c>
    </row>
    <row r="196">
      <c r="A196" s="1">
        <f>IF(B196="","",COUNTIF($R$4:$R$4803,B196))</f>
        <v/>
      </c>
      <c r="B196" s="1" t="n"/>
      <c r="C196" s="18">
        <f>IFERROR(
(
SUMIF('Q1'!$AM$14:$AM$613,B196,'Q1'!$T$14:$T$613)
+SUMIF('Q2'!$AM$14:$AM$613,B196,'Q2'!$T$14:$T$613)
)
/A196,"")</f>
        <v/>
      </c>
      <c r="R196">
        <f>'Q1'!AM206</f>
        <v/>
      </c>
    </row>
    <row r="197">
      <c r="A197" s="1">
        <f>IF(B197="","",COUNTIF($R$4:$R$4803,B197))</f>
        <v/>
      </c>
      <c r="B197" s="1" t="n"/>
      <c r="C197" s="18">
        <f>IFERROR(
(
SUMIF('Q1'!$AM$14:$AM$613,B197,'Q1'!$T$14:$T$613)
+SUMIF('Q2'!$AM$14:$AM$613,B197,'Q2'!$T$14:$T$613)
)
/A197,"")</f>
        <v/>
      </c>
      <c r="R197">
        <f>'Q1'!AM207</f>
        <v/>
      </c>
    </row>
    <row r="198">
      <c r="A198" s="1">
        <f>IF(B198="","",COUNTIF($R$4:$R$4803,B198))</f>
        <v/>
      </c>
      <c r="B198" s="1" t="n"/>
      <c r="C198" s="18">
        <f>IFERROR(
(
SUMIF('Q1'!$AM$14:$AM$613,B198,'Q1'!$T$14:$T$613)
+SUMIF('Q2'!$AM$14:$AM$613,B198,'Q2'!$T$14:$T$613)
)
/A198,"")</f>
        <v/>
      </c>
      <c r="R198">
        <f>'Q1'!AM208</f>
        <v/>
      </c>
    </row>
    <row r="199">
      <c r="A199" s="1">
        <f>IF(B199="","",COUNTIF($R$4:$R$4803,B199))</f>
        <v/>
      </c>
      <c r="B199" s="1" t="n"/>
      <c r="C199" s="18">
        <f>IFERROR(
(
SUMIF('Q1'!$AM$14:$AM$613,B199,'Q1'!$T$14:$T$613)
+SUMIF('Q2'!$AM$14:$AM$613,B199,'Q2'!$T$14:$T$613)
)
/A199,"")</f>
        <v/>
      </c>
      <c r="R199">
        <f>'Q1'!AM209</f>
        <v/>
      </c>
    </row>
    <row r="200">
      <c r="A200" s="1">
        <f>IF(B200="","",COUNTIF($R$4:$R$4803,B200))</f>
        <v/>
      </c>
      <c r="B200" s="1" t="n"/>
      <c r="C200" s="18">
        <f>IFERROR(
(
SUMIF('Q1'!$AM$14:$AM$613,B200,'Q1'!$T$14:$T$613)
+SUMIF('Q2'!$AM$14:$AM$613,B200,'Q2'!$T$14:$T$613)
)
/A200,"")</f>
        <v/>
      </c>
      <c r="R200">
        <f>'Q1'!AM210</f>
        <v/>
      </c>
    </row>
    <row r="201">
      <c r="A201" s="1">
        <f>IF(B201="","",COUNTIF($R$4:$R$4803,B201))</f>
        <v/>
      </c>
      <c r="B201" s="1" t="n"/>
      <c r="C201" s="18">
        <f>IFERROR(
(
SUMIF('Q1'!$AM$14:$AM$613,B201,'Q1'!$T$14:$T$613)
+SUMIF('Q2'!$AM$14:$AM$613,B201,'Q2'!$T$14:$T$613)
)
/A201,"")</f>
        <v/>
      </c>
      <c r="R201">
        <f>'Q1'!AM211</f>
        <v/>
      </c>
    </row>
    <row r="202">
      <c r="A202" s="1">
        <f>IF(B202="","",COUNTIF($R$4:$R$4803,B202))</f>
        <v/>
      </c>
      <c r="B202" s="1" t="n"/>
      <c r="C202" s="18">
        <f>IFERROR(
(
SUMIF('Q1'!$AM$14:$AM$613,B202,'Q1'!$T$14:$T$613)
+SUMIF('Q2'!$AM$14:$AM$613,B202,'Q2'!$T$14:$T$613)
)
/A202,"")</f>
        <v/>
      </c>
      <c r="R202">
        <f>'Q1'!AM212</f>
        <v/>
      </c>
    </row>
    <row r="203">
      <c r="A203" s="1">
        <f>IF(B203="","",COUNTIF($R$4:$R$4803,B203))</f>
        <v/>
      </c>
      <c r="B203" s="1" t="n"/>
      <c r="C203" s="18">
        <f>IFERROR(
(
SUMIF('Q1'!$AM$14:$AM$613,B203,'Q1'!$T$14:$T$613)
+SUMIF('Q2'!$AM$14:$AM$613,B203,'Q2'!$T$14:$T$613)
)
/A203,"")</f>
        <v/>
      </c>
      <c r="R203">
        <f>'Q1'!AM213</f>
        <v/>
      </c>
    </row>
    <row r="204">
      <c r="A204" s="1">
        <f>IF(B204="","",COUNTIF($R$4:$R$4803,B204))</f>
        <v/>
      </c>
      <c r="B204" s="1" t="n"/>
      <c r="C204" s="18">
        <f>IFERROR(
(
SUMIF('Q1'!$AM$14:$AM$613,B204,'Q1'!$T$14:$T$613)
+SUMIF('Q2'!$AM$14:$AM$613,B204,'Q2'!$T$14:$T$613)
)
/A204,"")</f>
        <v/>
      </c>
      <c r="R204">
        <f>'Q1'!AM214</f>
        <v/>
      </c>
    </row>
    <row r="205">
      <c r="A205" s="1">
        <f>IF(B205="","",COUNTIF($R$4:$R$4803,B205))</f>
        <v/>
      </c>
      <c r="B205" s="1" t="n"/>
      <c r="C205" s="18">
        <f>IFERROR(
(
SUMIF('Q1'!$AM$14:$AM$613,B205,'Q1'!$T$14:$T$613)
+SUMIF('Q2'!$AM$14:$AM$613,B205,'Q2'!$T$14:$T$613)
)
/A205,"")</f>
        <v/>
      </c>
      <c r="R205">
        <f>'Q1'!AM215</f>
        <v/>
      </c>
    </row>
    <row r="206">
      <c r="A206" s="1">
        <f>IF(B206="","",COUNTIF($R$4:$R$4803,B206))</f>
        <v/>
      </c>
      <c r="B206" s="1" t="n"/>
      <c r="C206" s="18">
        <f>IFERROR(
(
SUMIF('Q1'!$AM$14:$AM$613,B206,'Q1'!$T$14:$T$613)
+SUMIF('Q2'!$AM$14:$AM$613,B206,'Q2'!$T$14:$T$613)
)
/A206,"")</f>
        <v/>
      </c>
      <c r="R206">
        <f>'Q1'!AM216</f>
        <v/>
      </c>
    </row>
    <row r="207">
      <c r="A207" s="1">
        <f>IF(B207="","",COUNTIF($R$4:$R$4803,B207))</f>
        <v/>
      </c>
      <c r="B207" s="1" t="n"/>
      <c r="C207" s="18">
        <f>IFERROR(
(
SUMIF('Q1'!$AM$14:$AM$613,B207,'Q1'!$T$14:$T$613)
+SUMIF('Q2'!$AM$14:$AM$613,B207,'Q2'!$T$14:$T$613)
)
/A207,"")</f>
        <v/>
      </c>
      <c r="R207">
        <f>'Q1'!AM217</f>
        <v/>
      </c>
    </row>
    <row r="208">
      <c r="A208" s="1">
        <f>IF(B208="","",COUNTIF($R$4:$R$4803,B208))</f>
        <v/>
      </c>
      <c r="B208" s="1" t="n"/>
      <c r="C208" s="18">
        <f>IFERROR(
(
SUMIF('Q1'!$AM$14:$AM$613,B208,'Q1'!$T$14:$T$613)
+SUMIF('Q2'!$AM$14:$AM$613,B208,'Q2'!$T$14:$T$613)
)
/A208,"")</f>
        <v/>
      </c>
      <c r="R208">
        <f>'Q1'!AM218</f>
        <v/>
      </c>
    </row>
    <row r="209">
      <c r="A209" s="1">
        <f>IF(B209="","",COUNTIF($R$4:$R$4803,B209))</f>
        <v/>
      </c>
      <c r="B209" s="1" t="n"/>
      <c r="C209" s="18">
        <f>IFERROR(
(
SUMIF('Q1'!$AM$14:$AM$613,B209,'Q1'!$T$14:$T$613)
+SUMIF('Q2'!$AM$14:$AM$613,B209,'Q2'!$T$14:$T$613)
)
/A209,"")</f>
        <v/>
      </c>
      <c r="R209">
        <f>'Q1'!AM219</f>
        <v/>
      </c>
    </row>
    <row r="210">
      <c r="A210" s="1">
        <f>IF(B210="","",COUNTIF($R$4:$R$4803,B210))</f>
        <v/>
      </c>
      <c r="B210" s="1" t="n"/>
      <c r="C210" s="18">
        <f>IFERROR(
(
SUMIF('Q1'!$AM$14:$AM$613,B210,'Q1'!$T$14:$T$613)
+SUMIF('Q2'!$AM$14:$AM$613,B210,'Q2'!$T$14:$T$613)
)
/A210,"")</f>
        <v/>
      </c>
      <c r="R210">
        <f>'Q1'!AM220</f>
        <v/>
      </c>
    </row>
    <row r="211">
      <c r="A211" s="1">
        <f>IF(B211="","",COUNTIF($R$4:$R$4803,B211))</f>
        <v/>
      </c>
      <c r="B211" s="1" t="n"/>
      <c r="C211" s="18">
        <f>IFERROR(
(
SUMIF('Q1'!$AM$14:$AM$613,B211,'Q1'!$T$14:$T$613)
+SUMIF('Q2'!$AM$14:$AM$613,B211,'Q2'!$T$14:$T$613)
)
/A211,"")</f>
        <v/>
      </c>
      <c r="R211">
        <f>'Q1'!AM221</f>
        <v/>
      </c>
    </row>
    <row r="212">
      <c r="A212" s="1">
        <f>IF(B212="","",COUNTIF($R$4:$R$4803,B212))</f>
        <v/>
      </c>
      <c r="B212" s="1" t="n"/>
      <c r="C212" s="18">
        <f>IFERROR(
(
SUMIF('Q1'!$AM$14:$AM$613,B212,'Q1'!$T$14:$T$613)
+SUMIF('Q2'!$AM$14:$AM$613,B212,'Q2'!$T$14:$T$613)
)
/A212,"")</f>
        <v/>
      </c>
      <c r="R212">
        <f>'Q1'!AM222</f>
        <v/>
      </c>
    </row>
    <row r="213">
      <c r="A213" s="1">
        <f>IF(B213="","",COUNTIF($R$4:$R$4803,B213))</f>
        <v/>
      </c>
      <c r="B213" s="1" t="n"/>
      <c r="C213" s="18">
        <f>IFERROR(
(
SUMIF('Q1'!$AM$14:$AM$613,B213,'Q1'!$T$14:$T$613)
+SUMIF('Q2'!$AM$14:$AM$613,B213,'Q2'!$T$14:$T$613)
)
/A213,"")</f>
        <v/>
      </c>
      <c r="R213">
        <f>'Q1'!AM223</f>
        <v/>
      </c>
    </row>
    <row r="214">
      <c r="A214" s="1">
        <f>IF(B214="","",COUNTIF($R$4:$R$4803,B214))</f>
        <v/>
      </c>
      <c r="B214" s="1" t="n"/>
      <c r="C214" s="18">
        <f>IFERROR(
(
SUMIF('Q1'!$AM$14:$AM$613,B214,'Q1'!$T$14:$T$613)
+SUMIF('Q2'!$AM$14:$AM$613,B214,'Q2'!$T$14:$T$613)
)
/A214,"")</f>
        <v/>
      </c>
      <c r="R214">
        <f>'Q1'!AM224</f>
        <v/>
      </c>
    </row>
    <row r="215">
      <c r="A215" s="1">
        <f>IF(B215="","",COUNTIF($R$4:$R$4803,B215))</f>
        <v/>
      </c>
      <c r="B215" s="1" t="n"/>
      <c r="C215" s="18">
        <f>IFERROR(
(
SUMIF('Q1'!$AM$14:$AM$613,B215,'Q1'!$T$14:$T$613)
+SUMIF('Q2'!$AM$14:$AM$613,B215,'Q2'!$T$14:$T$613)
)
/A215,"")</f>
        <v/>
      </c>
      <c r="R215">
        <f>'Q1'!AM225</f>
        <v/>
      </c>
    </row>
    <row r="216">
      <c r="A216" s="1">
        <f>IF(B216="","",COUNTIF($R$4:$R$4803,B216))</f>
        <v/>
      </c>
      <c r="B216" s="1" t="n"/>
      <c r="C216" s="18">
        <f>IFERROR(
(
SUMIF('Q1'!$AM$14:$AM$613,B216,'Q1'!$T$14:$T$613)
+SUMIF('Q2'!$AM$14:$AM$613,B216,'Q2'!$T$14:$T$613)
)
/A216,"")</f>
        <v/>
      </c>
      <c r="R216">
        <f>'Q1'!AM226</f>
        <v/>
      </c>
    </row>
    <row r="217">
      <c r="A217" s="1">
        <f>IF(B217="","",COUNTIF($R$4:$R$4803,B217))</f>
        <v/>
      </c>
      <c r="B217" s="1" t="n"/>
      <c r="C217" s="18">
        <f>IFERROR(
(
SUMIF('Q1'!$AM$14:$AM$613,B217,'Q1'!$T$14:$T$613)
+SUMIF('Q2'!$AM$14:$AM$613,B217,'Q2'!$T$14:$T$613)
)
/A217,"")</f>
        <v/>
      </c>
      <c r="R217">
        <f>'Q1'!AM227</f>
        <v/>
      </c>
    </row>
    <row r="218">
      <c r="A218" s="1">
        <f>IF(B218="","",COUNTIF($R$4:$R$4803,B218))</f>
        <v/>
      </c>
      <c r="B218" s="1" t="n"/>
      <c r="C218" s="18">
        <f>IFERROR(
(
SUMIF('Q1'!$AM$14:$AM$613,B218,'Q1'!$T$14:$T$613)
+SUMIF('Q2'!$AM$14:$AM$613,B218,'Q2'!$T$14:$T$613)
)
/A218,"")</f>
        <v/>
      </c>
      <c r="R218">
        <f>'Q1'!AM228</f>
        <v/>
      </c>
    </row>
    <row r="219">
      <c r="A219" s="1">
        <f>IF(B219="","",COUNTIF($R$4:$R$4803,B219))</f>
        <v/>
      </c>
      <c r="B219" s="1" t="n"/>
      <c r="C219" s="18">
        <f>IFERROR(
(
SUMIF('Q1'!$AM$14:$AM$613,B219,'Q1'!$T$14:$T$613)
+SUMIF('Q2'!$AM$14:$AM$613,B219,'Q2'!$T$14:$T$613)
)
/A219,"")</f>
        <v/>
      </c>
      <c r="R219">
        <f>'Q1'!AM229</f>
        <v/>
      </c>
    </row>
    <row r="220">
      <c r="A220" s="1">
        <f>IF(B220="","",COUNTIF($R$4:$R$4803,B220))</f>
        <v/>
      </c>
      <c r="B220" s="1" t="n"/>
      <c r="C220" s="18">
        <f>IFERROR(
(
SUMIF('Q1'!$AM$14:$AM$613,B220,'Q1'!$T$14:$T$613)
+SUMIF('Q2'!$AM$14:$AM$613,B220,'Q2'!$T$14:$T$613)
)
/A220,"")</f>
        <v/>
      </c>
      <c r="R220">
        <f>'Q1'!AM230</f>
        <v/>
      </c>
    </row>
    <row r="221">
      <c r="A221" s="1">
        <f>IF(B221="","",COUNTIF($R$4:$R$4803,B221))</f>
        <v/>
      </c>
      <c r="B221" s="1" t="n"/>
      <c r="C221" s="18">
        <f>IFERROR(
(
SUMIF('Q1'!$AM$14:$AM$613,B221,'Q1'!$T$14:$T$613)
+SUMIF('Q2'!$AM$14:$AM$613,B221,'Q2'!$T$14:$T$613)
)
/A221,"")</f>
        <v/>
      </c>
      <c r="R221">
        <f>'Q1'!AM231</f>
        <v/>
      </c>
    </row>
    <row r="222">
      <c r="A222" s="1">
        <f>IF(B222="","",COUNTIF($R$4:$R$4803,B222))</f>
        <v/>
      </c>
      <c r="B222" s="1" t="n"/>
      <c r="C222" s="18">
        <f>IFERROR(
(
SUMIF('Q1'!$AM$14:$AM$613,B222,'Q1'!$T$14:$T$613)
+SUMIF('Q2'!$AM$14:$AM$613,B222,'Q2'!$T$14:$T$613)
)
/A222,"")</f>
        <v/>
      </c>
      <c r="R222">
        <f>'Q1'!AM232</f>
        <v/>
      </c>
    </row>
    <row r="223">
      <c r="A223" s="1">
        <f>IF(B223="","",COUNTIF($R$4:$R$4803,B223))</f>
        <v/>
      </c>
      <c r="B223" s="1" t="n"/>
      <c r="C223" s="18">
        <f>IFERROR(
(
SUMIF('Q1'!$AM$14:$AM$613,B223,'Q1'!$T$14:$T$613)
+SUMIF('Q2'!$AM$14:$AM$613,B223,'Q2'!$T$14:$T$613)
)
/A223,"")</f>
        <v/>
      </c>
      <c r="R223">
        <f>'Q1'!AM233</f>
        <v/>
      </c>
    </row>
    <row r="224">
      <c r="A224" s="1">
        <f>IF(B224="","",COUNTIF($R$4:$R$4803,B224))</f>
        <v/>
      </c>
      <c r="B224" s="1" t="n"/>
      <c r="C224" s="18">
        <f>IFERROR(
(
SUMIF('Q1'!$AM$14:$AM$613,B224,'Q1'!$T$14:$T$613)
+SUMIF('Q2'!$AM$14:$AM$613,B224,'Q2'!$T$14:$T$613)
)
/A224,"")</f>
        <v/>
      </c>
      <c r="R224">
        <f>'Q1'!AM234</f>
        <v/>
      </c>
    </row>
    <row r="225">
      <c r="A225" s="1">
        <f>IF(B225="","",COUNTIF($R$4:$R$4803,B225))</f>
        <v/>
      </c>
      <c r="B225" s="1" t="n"/>
      <c r="C225" s="18">
        <f>IFERROR(
(
SUMIF('Q1'!$AM$14:$AM$613,B225,'Q1'!$T$14:$T$613)
+SUMIF('Q2'!$AM$14:$AM$613,B225,'Q2'!$T$14:$T$613)
)
/A225,"")</f>
        <v/>
      </c>
      <c r="R225">
        <f>'Q1'!AM235</f>
        <v/>
      </c>
    </row>
    <row r="226">
      <c r="A226" s="1">
        <f>IF(B226="","",COUNTIF($R$4:$R$4803,B226))</f>
        <v/>
      </c>
      <c r="B226" s="1" t="n"/>
      <c r="C226" s="18">
        <f>IFERROR(
(
SUMIF('Q1'!$AM$14:$AM$613,B226,'Q1'!$T$14:$T$613)
+SUMIF('Q2'!$AM$14:$AM$613,B226,'Q2'!$T$14:$T$613)
)
/A226,"")</f>
        <v/>
      </c>
      <c r="R226">
        <f>'Q1'!AM236</f>
        <v/>
      </c>
    </row>
    <row r="227">
      <c r="A227" s="1">
        <f>IF(B227="","",COUNTIF($R$4:$R$4803,B227))</f>
        <v/>
      </c>
      <c r="B227" s="1" t="n"/>
      <c r="C227" s="18">
        <f>IFERROR(
(
SUMIF('Q1'!$AM$14:$AM$613,B227,'Q1'!$T$14:$T$613)
+SUMIF('Q2'!$AM$14:$AM$613,B227,'Q2'!$T$14:$T$613)
)
/A227,"")</f>
        <v/>
      </c>
      <c r="R227">
        <f>'Q1'!AM237</f>
        <v/>
      </c>
    </row>
    <row r="228">
      <c r="A228" s="1">
        <f>IF(B228="","",COUNTIF($R$4:$R$4803,B228))</f>
        <v/>
      </c>
      <c r="B228" s="1" t="n"/>
      <c r="C228" s="18">
        <f>IFERROR(
(
SUMIF('Q1'!$AM$14:$AM$613,B228,'Q1'!$T$14:$T$613)
+SUMIF('Q2'!$AM$14:$AM$613,B228,'Q2'!$T$14:$T$613)
)
/A228,"")</f>
        <v/>
      </c>
      <c r="R228">
        <f>'Q1'!AM238</f>
        <v/>
      </c>
    </row>
    <row r="229">
      <c r="A229" s="1">
        <f>IF(B229="","",COUNTIF($R$4:$R$4803,B229))</f>
        <v/>
      </c>
      <c r="B229" s="1" t="n"/>
      <c r="C229" s="18">
        <f>IFERROR(
(
SUMIF('Q1'!$AM$14:$AM$613,B229,'Q1'!$T$14:$T$613)
+SUMIF('Q2'!$AM$14:$AM$613,B229,'Q2'!$T$14:$T$613)
)
/A229,"")</f>
        <v/>
      </c>
      <c r="R229">
        <f>'Q1'!AM239</f>
        <v/>
      </c>
    </row>
    <row r="230">
      <c r="A230" s="1">
        <f>IF(B230="","",COUNTIF($R$4:$R$4803,B230))</f>
        <v/>
      </c>
      <c r="B230" s="1" t="n"/>
      <c r="C230" s="18">
        <f>IFERROR(
(
SUMIF('Q1'!$AM$14:$AM$613,B230,'Q1'!$T$14:$T$613)
+SUMIF('Q2'!$AM$14:$AM$613,B230,'Q2'!$T$14:$T$613)
)
/A230,"")</f>
        <v/>
      </c>
      <c r="R230">
        <f>'Q1'!AM240</f>
        <v/>
      </c>
    </row>
    <row r="231">
      <c r="A231" s="1">
        <f>IF(B231="","",COUNTIF($R$4:$R$4803,B231))</f>
        <v/>
      </c>
      <c r="B231" s="1" t="n"/>
      <c r="C231" s="18">
        <f>IFERROR(
(
SUMIF('Q1'!$AM$14:$AM$613,B231,'Q1'!$T$14:$T$613)
+SUMIF('Q2'!$AM$14:$AM$613,B231,'Q2'!$T$14:$T$613)
)
/A231,"")</f>
        <v/>
      </c>
      <c r="R231">
        <f>'Q1'!AM241</f>
        <v/>
      </c>
    </row>
    <row r="232">
      <c r="A232" s="1">
        <f>IF(B232="","",COUNTIF($R$4:$R$4803,B232))</f>
        <v/>
      </c>
      <c r="B232" s="1" t="n"/>
      <c r="C232" s="18">
        <f>IFERROR(
(
SUMIF('Q1'!$AM$14:$AM$613,B232,'Q1'!$T$14:$T$613)
+SUMIF('Q2'!$AM$14:$AM$613,B232,'Q2'!$T$14:$T$613)
)
/A232,"")</f>
        <v/>
      </c>
      <c r="R232">
        <f>'Q1'!AM242</f>
        <v/>
      </c>
    </row>
    <row r="233">
      <c r="A233" s="1">
        <f>IF(B233="","",COUNTIF($R$4:$R$4803,B233))</f>
        <v/>
      </c>
      <c r="B233" s="1" t="n"/>
      <c r="C233" s="18">
        <f>IFERROR(
(
SUMIF('Q1'!$AM$14:$AM$613,B233,'Q1'!$T$14:$T$613)
+SUMIF('Q2'!$AM$14:$AM$613,B233,'Q2'!$T$14:$T$613)
)
/A233,"")</f>
        <v/>
      </c>
      <c r="R233">
        <f>'Q1'!AM243</f>
        <v/>
      </c>
    </row>
    <row r="234">
      <c r="A234" s="1">
        <f>IF(B234="","",COUNTIF($R$4:$R$4803,B234))</f>
        <v/>
      </c>
      <c r="B234" s="1" t="n"/>
      <c r="C234" s="18">
        <f>IFERROR(
(
SUMIF('Q1'!$AM$14:$AM$613,B234,'Q1'!$T$14:$T$613)
+SUMIF('Q2'!$AM$14:$AM$613,B234,'Q2'!$T$14:$T$613)
)
/A234,"")</f>
        <v/>
      </c>
      <c r="R234">
        <f>'Q1'!AM244</f>
        <v/>
      </c>
    </row>
    <row r="235">
      <c r="A235" s="1">
        <f>IF(B235="","",COUNTIF($R$4:$R$4803,B235))</f>
        <v/>
      </c>
      <c r="B235" s="1" t="n"/>
      <c r="C235" s="18">
        <f>IFERROR(
(
SUMIF('Q1'!$AM$14:$AM$613,B235,'Q1'!$T$14:$T$613)
+SUMIF('Q2'!$AM$14:$AM$613,B235,'Q2'!$T$14:$T$613)
)
/A235,"")</f>
        <v/>
      </c>
      <c r="R235">
        <f>'Q1'!AM245</f>
        <v/>
      </c>
    </row>
    <row r="236">
      <c r="A236" s="1">
        <f>IF(B236="","",COUNTIF($R$4:$R$4803,B236))</f>
        <v/>
      </c>
      <c r="B236" s="1" t="n"/>
      <c r="C236" s="18">
        <f>IFERROR(
(
SUMIF('Q1'!$AM$14:$AM$613,B236,'Q1'!$T$14:$T$613)
+SUMIF('Q2'!$AM$14:$AM$613,B236,'Q2'!$T$14:$T$613)
)
/A236,"")</f>
        <v/>
      </c>
      <c r="R236">
        <f>'Q1'!AM246</f>
        <v/>
      </c>
    </row>
    <row r="237">
      <c r="A237" s="1">
        <f>IF(B237="","",COUNTIF($R$4:$R$4803,B237))</f>
        <v/>
      </c>
      <c r="B237" s="1" t="n"/>
      <c r="C237" s="18">
        <f>IFERROR(
(
SUMIF('Q1'!$AM$14:$AM$613,B237,'Q1'!$T$14:$T$613)
+SUMIF('Q2'!$AM$14:$AM$613,B237,'Q2'!$T$14:$T$613)
)
/A237,"")</f>
        <v/>
      </c>
      <c r="R237">
        <f>'Q1'!AM247</f>
        <v/>
      </c>
    </row>
    <row r="238">
      <c r="A238" s="1">
        <f>IF(B238="","",COUNTIF($R$4:$R$4803,B238))</f>
        <v/>
      </c>
      <c r="B238" s="1" t="n"/>
      <c r="C238" s="18">
        <f>IFERROR(
(
SUMIF('Q1'!$AM$14:$AM$613,B238,'Q1'!$T$14:$T$613)
+SUMIF('Q2'!$AM$14:$AM$613,B238,'Q2'!$T$14:$T$613)
)
/A238,"")</f>
        <v/>
      </c>
      <c r="R238">
        <f>'Q1'!AM248</f>
        <v/>
      </c>
    </row>
    <row r="239">
      <c r="A239" s="1">
        <f>IF(B239="","",COUNTIF($R$4:$R$4803,B239))</f>
        <v/>
      </c>
      <c r="B239" s="1" t="n"/>
      <c r="C239" s="18">
        <f>IFERROR(
(
SUMIF('Q1'!$AM$14:$AM$613,B239,'Q1'!$T$14:$T$613)
+SUMIF('Q2'!$AM$14:$AM$613,B239,'Q2'!$T$14:$T$613)
)
/A239,"")</f>
        <v/>
      </c>
      <c r="R239">
        <f>'Q1'!AM249</f>
        <v/>
      </c>
    </row>
    <row r="240">
      <c r="A240" s="1">
        <f>IF(B240="","",COUNTIF($R$4:$R$4803,B240))</f>
        <v/>
      </c>
      <c r="B240" s="1" t="n"/>
      <c r="C240" s="18">
        <f>IFERROR(
(
SUMIF('Q1'!$AM$14:$AM$613,B240,'Q1'!$T$14:$T$613)
+SUMIF('Q2'!$AM$14:$AM$613,B240,'Q2'!$T$14:$T$613)
)
/A240,"")</f>
        <v/>
      </c>
      <c r="R240">
        <f>'Q1'!AM250</f>
        <v/>
      </c>
    </row>
    <row r="241">
      <c r="A241" s="1">
        <f>IF(B241="","",COUNTIF($R$4:$R$4803,B241))</f>
        <v/>
      </c>
      <c r="B241" s="1" t="n"/>
      <c r="C241" s="18">
        <f>IFERROR(
(
SUMIF('Q1'!$AM$14:$AM$613,B241,'Q1'!$T$14:$T$613)
+SUMIF('Q2'!$AM$14:$AM$613,B241,'Q2'!$T$14:$T$613)
)
/A241,"")</f>
        <v/>
      </c>
      <c r="R241">
        <f>'Q1'!AM251</f>
        <v/>
      </c>
    </row>
    <row r="242">
      <c r="A242" s="1">
        <f>IF(B242="","",COUNTIF($R$4:$R$4803,B242))</f>
        <v/>
      </c>
      <c r="B242" s="1" t="n"/>
      <c r="C242" s="18">
        <f>IFERROR(
(
SUMIF('Q1'!$AM$14:$AM$613,B242,'Q1'!$T$14:$T$613)
+SUMIF('Q2'!$AM$14:$AM$613,B242,'Q2'!$T$14:$T$613)
)
/A242,"")</f>
        <v/>
      </c>
      <c r="R242">
        <f>'Q1'!AM252</f>
        <v/>
      </c>
    </row>
    <row r="243">
      <c r="A243" s="1">
        <f>IF(B243="","",COUNTIF($R$4:$R$4803,B243))</f>
        <v/>
      </c>
      <c r="B243" s="1" t="n"/>
      <c r="C243" s="18">
        <f>IFERROR(
(
SUMIF('Q1'!$AM$14:$AM$613,B243,'Q1'!$T$14:$T$613)
+SUMIF('Q2'!$AM$14:$AM$613,B243,'Q2'!$T$14:$T$613)
)
/A243,"")</f>
        <v/>
      </c>
      <c r="R243">
        <f>'Q1'!AM253</f>
        <v/>
      </c>
    </row>
    <row r="244">
      <c r="A244" s="1">
        <f>IF(B244="","",COUNTIF($R$4:$R$4803,B244))</f>
        <v/>
      </c>
      <c r="B244" s="1" t="n"/>
      <c r="C244" s="18">
        <f>IFERROR(
(
SUMIF('Q1'!$AM$14:$AM$613,B244,'Q1'!$T$14:$T$613)
+SUMIF('Q2'!$AM$14:$AM$613,B244,'Q2'!$T$14:$T$613)
)
/A244,"")</f>
        <v/>
      </c>
      <c r="R244">
        <f>'Q1'!AM254</f>
        <v/>
      </c>
    </row>
    <row r="245">
      <c r="A245" s="1">
        <f>IF(B245="","",COUNTIF($R$4:$R$4803,B245))</f>
        <v/>
      </c>
      <c r="B245" s="1" t="n"/>
      <c r="C245" s="18">
        <f>IFERROR(
(
SUMIF('Q1'!$AM$14:$AM$613,B245,'Q1'!$T$14:$T$613)
+SUMIF('Q2'!$AM$14:$AM$613,B245,'Q2'!$T$14:$T$613)
)
/A245,"")</f>
        <v/>
      </c>
      <c r="R245">
        <f>'Q1'!AM255</f>
        <v/>
      </c>
    </row>
    <row r="246">
      <c r="A246" s="1">
        <f>IF(B246="","",COUNTIF($R$4:$R$4803,B246))</f>
        <v/>
      </c>
      <c r="B246" s="1" t="n"/>
      <c r="C246" s="18">
        <f>IFERROR(
(
SUMIF('Q1'!$AM$14:$AM$613,B246,'Q1'!$T$14:$T$613)
+SUMIF('Q2'!$AM$14:$AM$613,B246,'Q2'!$T$14:$T$613)
)
/A246,"")</f>
        <v/>
      </c>
      <c r="R246">
        <f>'Q1'!AM256</f>
        <v/>
      </c>
    </row>
    <row r="247">
      <c r="A247" s="1">
        <f>IF(B247="","",COUNTIF($R$4:$R$4803,B247))</f>
        <v/>
      </c>
      <c r="B247" s="1" t="n"/>
      <c r="C247" s="18">
        <f>IFERROR(
(
SUMIF('Q1'!$AM$14:$AM$613,B247,'Q1'!$T$14:$T$613)
+SUMIF('Q2'!$AM$14:$AM$613,B247,'Q2'!$T$14:$T$613)
)
/A247,"")</f>
        <v/>
      </c>
      <c r="R247">
        <f>'Q1'!AM257</f>
        <v/>
      </c>
    </row>
    <row r="248">
      <c r="A248" s="1">
        <f>IF(B248="","",COUNTIF($R$4:$R$4803,B248))</f>
        <v/>
      </c>
      <c r="B248" s="1" t="n"/>
      <c r="C248" s="18">
        <f>IFERROR(
(
SUMIF('Q1'!$AM$14:$AM$613,B248,'Q1'!$T$14:$T$613)
+SUMIF('Q2'!$AM$14:$AM$613,B248,'Q2'!$T$14:$T$613)
)
/A248,"")</f>
        <v/>
      </c>
      <c r="R248">
        <f>'Q1'!AM258</f>
        <v/>
      </c>
    </row>
    <row r="249">
      <c r="A249" s="1">
        <f>IF(B249="","",COUNTIF($R$4:$R$4803,B249))</f>
        <v/>
      </c>
      <c r="B249" s="1" t="n"/>
      <c r="C249" s="18">
        <f>IFERROR(
(
SUMIF('Q1'!$AM$14:$AM$613,B249,'Q1'!$T$14:$T$613)
+SUMIF('Q2'!$AM$14:$AM$613,B249,'Q2'!$T$14:$T$613)
)
/A249,"")</f>
        <v/>
      </c>
      <c r="R249">
        <f>'Q1'!AM259</f>
        <v/>
      </c>
    </row>
    <row r="250">
      <c r="A250" s="1">
        <f>IF(B250="","",COUNTIF($R$4:$R$4803,B250))</f>
        <v/>
      </c>
      <c r="B250" s="1" t="n"/>
      <c r="C250" s="18">
        <f>IFERROR(
(
SUMIF('Q1'!$AM$14:$AM$613,B250,'Q1'!$T$14:$T$613)
+SUMIF('Q2'!$AM$14:$AM$613,B250,'Q2'!$T$14:$T$613)
)
/A250,"")</f>
        <v/>
      </c>
      <c r="R250">
        <f>'Q1'!AM260</f>
        <v/>
      </c>
    </row>
    <row r="251">
      <c r="A251" s="1">
        <f>IF(B251="","",COUNTIF($R$4:$R$4803,B251))</f>
        <v/>
      </c>
      <c r="B251" s="1" t="n"/>
      <c r="C251" s="18">
        <f>IFERROR(
(
SUMIF('Q1'!$AM$14:$AM$613,B251,'Q1'!$T$14:$T$613)
+SUMIF('Q2'!$AM$14:$AM$613,B251,'Q2'!$T$14:$T$613)
)
/A251,"")</f>
        <v/>
      </c>
      <c r="R251">
        <f>'Q1'!AM261</f>
        <v/>
      </c>
    </row>
    <row r="252">
      <c r="A252" s="1">
        <f>IF(B252="","",COUNTIF($R$4:$R$4803,B252))</f>
        <v/>
      </c>
      <c r="B252" s="1" t="n"/>
      <c r="C252" s="18">
        <f>IFERROR(
(
SUMIF('Q1'!$AM$14:$AM$613,B252,'Q1'!$T$14:$T$613)
+SUMIF('Q2'!$AM$14:$AM$613,B252,'Q2'!$T$14:$T$613)
)
/A252,"")</f>
        <v/>
      </c>
      <c r="R252">
        <f>'Q1'!AM262</f>
        <v/>
      </c>
    </row>
    <row r="253">
      <c r="A253" s="1">
        <f>IF(B253="","",COUNTIF($R$4:$R$4803,B253))</f>
        <v/>
      </c>
      <c r="B253" s="1" t="n"/>
      <c r="C253" s="18">
        <f>IFERROR(
(
SUMIF('Q1'!$AM$14:$AM$613,B253,'Q1'!$T$14:$T$613)
+SUMIF('Q2'!$AM$14:$AM$613,B253,'Q2'!$T$14:$T$613)
)
/A253,"")</f>
        <v/>
      </c>
      <c r="R253">
        <f>'Q1'!AM263</f>
        <v/>
      </c>
    </row>
    <row r="254">
      <c r="A254" s="1">
        <f>IF(B254="","",COUNTIF($R$4:$R$4803,B254))</f>
        <v/>
      </c>
      <c r="B254" s="1" t="n"/>
      <c r="C254" s="18">
        <f>IFERROR(
(
SUMIF('Q1'!$AM$14:$AM$613,B254,'Q1'!$T$14:$T$613)
+SUMIF('Q2'!$AM$14:$AM$613,B254,'Q2'!$T$14:$T$613)
)
/A254,"")</f>
        <v/>
      </c>
      <c r="R254">
        <f>'Q1'!AM264</f>
        <v/>
      </c>
    </row>
    <row r="255">
      <c r="A255" s="1">
        <f>IF(B255="","",COUNTIF($R$4:$R$4803,B255))</f>
        <v/>
      </c>
      <c r="B255" s="1" t="n"/>
      <c r="C255" s="18">
        <f>IFERROR(
(
SUMIF('Q1'!$AM$14:$AM$613,B255,'Q1'!$T$14:$T$613)
+SUMIF('Q2'!$AM$14:$AM$613,B255,'Q2'!$T$14:$T$613)
)
/A255,"")</f>
        <v/>
      </c>
      <c r="R255">
        <f>'Q1'!AM265</f>
        <v/>
      </c>
    </row>
    <row r="256">
      <c r="A256" s="1">
        <f>IF(B256="","",COUNTIF($R$4:$R$4803,B256))</f>
        <v/>
      </c>
      <c r="B256" s="1" t="n"/>
      <c r="C256" s="18">
        <f>IFERROR(
(
SUMIF('Q1'!$AM$14:$AM$613,B256,'Q1'!$T$14:$T$613)
+SUMIF('Q2'!$AM$14:$AM$613,B256,'Q2'!$T$14:$T$613)
)
/A256,"")</f>
        <v/>
      </c>
      <c r="R256">
        <f>'Q1'!AM266</f>
        <v/>
      </c>
    </row>
    <row r="257">
      <c r="A257" s="1">
        <f>IF(B257="","",COUNTIF($R$4:$R$4803,B257))</f>
        <v/>
      </c>
      <c r="B257" s="1" t="n"/>
      <c r="C257" s="18">
        <f>IFERROR(
(
SUMIF('Q1'!$AM$14:$AM$613,B257,'Q1'!$T$14:$T$613)
+SUMIF('Q2'!$AM$14:$AM$613,B257,'Q2'!$T$14:$T$613)
)
/A257,"")</f>
        <v/>
      </c>
      <c r="R257">
        <f>'Q1'!AM267</f>
        <v/>
      </c>
    </row>
    <row r="258">
      <c r="A258" s="1">
        <f>IF(B258="","",COUNTIF($R$4:$R$4803,B258))</f>
        <v/>
      </c>
      <c r="B258" s="1" t="n"/>
      <c r="C258" s="18">
        <f>IFERROR(
(
SUMIF('Q1'!$AM$14:$AM$613,B258,'Q1'!$T$14:$T$613)
+SUMIF('Q2'!$AM$14:$AM$613,B258,'Q2'!$T$14:$T$613)
)
/A258,"")</f>
        <v/>
      </c>
      <c r="R258">
        <f>'Q1'!AM268</f>
        <v/>
      </c>
    </row>
    <row r="259">
      <c r="A259" s="1">
        <f>IF(B259="","",COUNTIF($R$4:$R$4803,B259))</f>
        <v/>
      </c>
      <c r="B259" s="1" t="n"/>
      <c r="C259" s="18">
        <f>IFERROR(
(
SUMIF('Q1'!$AM$14:$AM$613,B259,'Q1'!$T$14:$T$613)
+SUMIF('Q2'!$AM$14:$AM$613,B259,'Q2'!$T$14:$T$613)
)
/A259,"")</f>
        <v/>
      </c>
      <c r="R259">
        <f>'Q1'!AM269</f>
        <v/>
      </c>
    </row>
    <row r="260">
      <c r="A260" s="1">
        <f>IF(B260="","",COUNTIF($R$4:$R$4803,B260))</f>
        <v/>
      </c>
      <c r="B260" s="1" t="n"/>
      <c r="C260" s="18">
        <f>IFERROR(
(
SUMIF('Q1'!$AM$14:$AM$613,B260,'Q1'!$T$14:$T$613)
+SUMIF('Q2'!$AM$14:$AM$613,B260,'Q2'!$T$14:$T$613)
)
/A260,"")</f>
        <v/>
      </c>
      <c r="R260">
        <f>'Q1'!AM270</f>
        <v/>
      </c>
    </row>
    <row r="261">
      <c r="A261" s="1">
        <f>IF(B261="","",COUNTIF($R$4:$R$4803,B261))</f>
        <v/>
      </c>
      <c r="B261" s="1" t="n"/>
      <c r="C261" s="18">
        <f>IFERROR(
(
SUMIF('Q1'!$AM$14:$AM$613,B261,'Q1'!$T$14:$T$613)
+SUMIF('Q2'!$AM$14:$AM$613,B261,'Q2'!$T$14:$T$613)
)
/A261,"")</f>
        <v/>
      </c>
      <c r="R261">
        <f>'Q1'!AM271</f>
        <v/>
      </c>
    </row>
    <row r="262">
      <c r="A262" s="1">
        <f>IF(B262="","",COUNTIF($R$4:$R$4803,B262))</f>
        <v/>
      </c>
      <c r="B262" s="1" t="n"/>
      <c r="C262" s="18">
        <f>IFERROR(
(
SUMIF('Q1'!$AM$14:$AM$613,B262,'Q1'!$T$14:$T$613)
+SUMIF('Q2'!$AM$14:$AM$613,B262,'Q2'!$T$14:$T$613)
)
/A262,"")</f>
        <v/>
      </c>
      <c r="R262">
        <f>'Q1'!AM272</f>
        <v/>
      </c>
    </row>
    <row r="263">
      <c r="A263" s="1">
        <f>IF(B263="","",COUNTIF($R$4:$R$4803,B263))</f>
        <v/>
      </c>
      <c r="B263" s="1" t="n"/>
      <c r="C263" s="18">
        <f>IFERROR(
(
SUMIF('Q1'!$AM$14:$AM$613,B263,'Q1'!$T$14:$T$613)
+SUMIF('Q2'!$AM$14:$AM$613,B263,'Q2'!$T$14:$T$613)
)
/A263,"")</f>
        <v/>
      </c>
      <c r="R263">
        <f>'Q1'!AM273</f>
        <v/>
      </c>
    </row>
    <row r="264">
      <c r="A264" s="1">
        <f>IF(B264="","",COUNTIF($R$4:$R$4803,B264))</f>
        <v/>
      </c>
      <c r="B264" s="1" t="n"/>
      <c r="C264" s="18">
        <f>IFERROR(
(
SUMIF('Q1'!$AM$14:$AM$613,B264,'Q1'!$T$14:$T$613)
+SUMIF('Q2'!$AM$14:$AM$613,B264,'Q2'!$T$14:$T$613)
)
/A264,"")</f>
        <v/>
      </c>
      <c r="R264">
        <f>'Q1'!AM274</f>
        <v/>
      </c>
    </row>
    <row r="265">
      <c r="A265" s="1">
        <f>IF(B265="","",COUNTIF($R$4:$R$4803,B265))</f>
        <v/>
      </c>
      <c r="B265" s="1" t="n"/>
      <c r="C265" s="18">
        <f>IFERROR(
(
SUMIF('Q1'!$AM$14:$AM$613,B265,'Q1'!$T$14:$T$613)
+SUMIF('Q2'!$AM$14:$AM$613,B265,'Q2'!$T$14:$T$613)
)
/A265,"")</f>
        <v/>
      </c>
      <c r="R265">
        <f>'Q1'!AM275</f>
        <v/>
      </c>
    </row>
    <row r="266">
      <c r="A266" s="1">
        <f>IF(B266="","",COUNTIF($R$4:$R$4803,B266))</f>
        <v/>
      </c>
      <c r="B266" s="1" t="n"/>
      <c r="C266" s="18">
        <f>IFERROR(
(
SUMIF('Q1'!$AM$14:$AM$613,B266,'Q1'!$T$14:$T$613)
+SUMIF('Q2'!$AM$14:$AM$613,B266,'Q2'!$T$14:$T$613)
)
/A266,"")</f>
        <v/>
      </c>
      <c r="R266">
        <f>'Q1'!AM276</f>
        <v/>
      </c>
    </row>
    <row r="267">
      <c r="A267" s="1">
        <f>IF(B267="","",COUNTIF($R$4:$R$4803,B267))</f>
        <v/>
      </c>
      <c r="B267" s="1" t="n"/>
      <c r="C267" s="18">
        <f>IFERROR(
(
SUMIF('Q1'!$AM$14:$AM$613,B267,'Q1'!$T$14:$T$613)
+SUMIF('Q2'!$AM$14:$AM$613,B267,'Q2'!$T$14:$T$613)
)
/A267,"")</f>
        <v/>
      </c>
      <c r="R267">
        <f>'Q1'!AM277</f>
        <v/>
      </c>
    </row>
    <row r="268">
      <c r="A268" s="1">
        <f>IF(B268="","",COUNTIF($R$4:$R$4803,B268))</f>
        <v/>
      </c>
      <c r="B268" s="1" t="n"/>
      <c r="C268" s="18">
        <f>IFERROR(
(
SUMIF('Q1'!$AM$14:$AM$613,B268,'Q1'!$T$14:$T$613)
+SUMIF('Q2'!$AM$14:$AM$613,B268,'Q2'!$T$14:$T$613)
)
/A268,"")</f>
        <v/>
      </c>
      <c r="R268">
        <f>'Q1'!AM278</f>
        <v/>
      </c>
    </row>
    <row r="269">
      <c r="A269" s="1">
        <f>IF(B269="","",COUNTIF($R$4:$R$4803,B269))</f>
        <v/>
      </c>
      <c r="B269" s="1" t="n"/>
      <c r="C269" s="18">
        <f>IFERROR(
(
SUMIF('Q1'!$AM$14:$AM$613,B269,'Q1'!$T$14:$T$613)
+SUMIF('Q2'!$AM$14:$AM$613,B269,'Q2'!$T$14:$T$613)
)
/A269,"")</f>
        <v/>
      </c>
      <c r="R269">
        <f>'Q1'!AM279</f>
        <v/>
      </c>
    </row>
    <row r="270">
      <c r="A270" s="1">
        <f>IF(B270="","",COUNTIF($R$4:$R$4803,B270))</f>
        <v/>
      </c>
      <c r="B270" s="1" t="n"/>
      <c r="C270" s="18">
        <f>IFERROR(
(
SUMIF('Q1'!$AM$14:$AM$613,B270,'Q1'!$T$14:$T$613)
+SUMIF('Q2'!$AM$14:$AM$613,B270,'Q2'!$T$14:$T$613)
)
/A270,"")</f>
        <v/>
      </c>
      <c r="R270">
        <f>'Q1'!AM280</f>
        <v/>
      </c>
    </row>
    <row r="271">
      <c r="A271" s="1">
        <f>IF(B271="","",COUNTIF($R$4:$R$4803,B271))</f>
        <v/>
      </c>
      <c r="B271" s="1" t="n"/>
      <c r="C271" s="18">
        <f>IFERROR(
(
SUMIF('Q1'!$AM$14:$AM$613,B271,'Q1'!$T$14:$T$613)
+SUMIF('Q2'!$AM$14:$AM$613,B271,'Q2'!$T$14:$T$613)
)
/A271,"")</f>
        <v/>
      </c>
      <c r="R271">
        <f>'Q1'!AM281</f>
        <v/>
      </c>
    </row>
    <row r="272">
      <c r="A272" s="1">
        <f>IF(B272="","",COUNTIF($R$4:$R$4803,B272))</f>
        <v/>
      </c>
      <c r="B272" s="1" t="n"/>
      <c r="C272" s="18">
        <f>IFERROR(
(
SUMIF('Q1'!$AM$14:$AM$613,B272,'Q1'!$T$14:$T$613)
+SUMIF('Q2'!$AM$14:$AM$613,B272,'Q2'!$T$14:$T$613)
)
/A272,"")</f>
        <v/>
      </c>
      <c r="R272">
        <f>'Q1'!AM282</f>
        <v/>
      </c>
    </row>
    <row r="273">
      <c r="A273" s="1">
        <f>IF(B273="","",COUNTIF($R$4:$R$4803,B273))</f>
        <v/>
      </c>
      <c r="B273" s="1" t="n"/>
      <c r="C273" s="18">
        <f>IFERROR(
(
SUMIF('Q1'!$AM$14:$AM$613,B273,'Q1'!$T$14:$T$613)
+SUMIF('Q2'!$AM$14:$AM$613,B273,'Q2'!$T$14:$T$613)
)
/A273,"")</f>
        <v/>
      </c>
      <c r="R273">
        <f>'Q1'!AM283</f>
        <v/>
      </c>
    </row>
    <row r="274">
      <c r="A274" s="1">
        <f>IF(B274="","",COUNTIF($R$4:$R$4803,B274))</f>
        <v/>
      </c>
      <c r="B274" s="1" t="n"/>
      <c r="C274" s="18">
        <f>IFERROR(
(
SUMIF('Q1'!$AM$14:$AM$613,B274,'Q1'!$T$14:$T$613)
+SUMIF('Q2'!$AM$14:$AM$613,B274,'Q2'!$T$14:$T$613)
)
/A274,"")</f>
        <v/>
      </c>
      <c r="R274">
        <f>'Q1'!AM284</f>
        <v/>
      </c>
    </row>
    <row r="275">
      <c r="A275" s="1">
        <f>IF(B275="","",COUNTIF($R$4:$R$4803,B275))</f>
        <v/>
      </c>
      <c r="B275" s="1" t="n"/>
      <c r="C275" s="18">
        <f>IFERROR(
(
SUMIF('Q1'!$AM$14:$AM$613,B275,'Q1'!$T$14:$T$613)
+SUMIF('Q2'!$AM$14:$AM$613,B275,'Q2'!$T$14:$T$613)
)
/A275,"")</f>
        <v/>
      </c>
      <c r="R275">
        <f>'Q1'!AM285</f>
        <v/>
      </c>
    </row>
    <row r="276">
      <c r="A276" s="1">
        <f>IF(B276="","",COUNTIF($R$4:$R$4803,B276))</f>
        <v/>
      </c>
      <c r="B276" s="1" t="n"/>
      <c r="C276" s="18">
        <f>IFERROR(
(
SUMIF('Q1'!$AM$14:$AM$613,B276,'Q1'!$T$14:$T$613)
+SUMIF('Q2'!$AM$14:$AM$613,B276,'Q2'!$T$14:$T$613)
)
/A276,"")</f>
        <v/>
      </c>
      <c r="R276">
        <f>'Q1'!AM286</f>
        <v/>
      </c>
    </row>
    <row r="277">
      <c r="A277" s="1">
        <f>IF(B277="","",COUNTIF($R$4:$R$4803,B277))</f>
        <v/>
      </c>
      <c r="B277" s="1" t="n"/>
      <c r="C277" s="18">
        <f>IFERROR(
(
SUMIF('Q1'!$AM$14:$AM$613,B277,'Q1'!$T$14:$T$613)
+SUMIF('Q2'!$AM$14:$AM$613,B277,'Q2'!$T$14:$T$613)
)
/A277,"")</f>
        <v/>
      </c>
      <c r="R277">
        <f>'Q1'!AM287</f>
        <v/>
      </c>
    </row>
    <row r="278">
      <c r="A278" s="1">
        <f>IF(B278="","",COUNTIF($R$4:$R$4803,B278))</f>
        <v/>
      </c>
      <c r="B278" s="1" t="n"/>
      <c r="C278" s="18">
        <f>IFERROR(
(
SUMIF('Q1'!$AM$14:$AM$613,B278,'Q1'!$T$14:$T$613)
+SUMIF('Q2'!$AM$14:$AM$613,B278,'Q2'!$T$14:$T$613)
)
/A278,"")</f>
        <v/>
      </c>
      <c r="R278">
        <f>'Q1'!AM288</f>
        <v/>
      </c>
    </row>
    <row r="279">
      <c r="A279" s="1">
        <f>IF(B279="","",COUNTIF($R$4:$R$4803,B279))</f>
        <v/>
      </c>
      <c r="B279" s="1" t="n"/>
      <c r="C279" s="18">
        <f>IFERROR(
(
SUMIF('Q1'!$AM$14:$AM$613,B279,'Q1'!$T$14:$T$613)
+SUMIF('Q2'!$AM$14:$AM$613,B279,'Q2'!$T$14:$T$613)
)
/A279,"")</f>
        <v/>
      </c>
      <c r="R279">
        <f>'Q1'!AM289</f>
        <v/>
      </c>
    </row>
    <row r="280">
      <c r="A280" s="1">
        <f>IF(B280="","",COUNTIF($R$4:$R$4803,B280))</f>
        <v/>
      </c>
      <c r="B280" s="1" t="n"/>
      <c r="C280" s="18">
        <f>IFERROR(
(
SUMIF('Q1'!$AM$14:$AM$613,B280,'Q1'!$T$14:$T$613)
+SUMIF('Q2'!$AM$14:$AM$613,B280,'Q2'!$T$14:$T$613)
)
/A280,"")</f>
        <v/>
      </c>
      <c r="R280">
        <f>'Q1'!AM290</f>
        <v/>
      </c>
    </row>
    <row r="281">
      <c r="A281" s="1">
        <f>IF(B281="","",COUNTIF($R$4:$R$4803,B281))</f>
        <v/>
      </c>
      <c r="B281" s="1" t="n"/>
      <c r="C281" s="18">
        <f>IFERROR(
(
SUMIF('Q1'!$AM$14:$AM$613,B281,'Q1'!$T$14:$T$613)
+SUMIF('Q2'!$AM$14:$AM$613,B281,'Q2'!$T$14:$T$613)
)
/A281,"")</f>
        <v/>
      </c>
      <c r="R281">
        <f>'Q1'!AM291</f>
        <v/>
      </c>
    </row>
    <row r="282">
      <c r="A282" s="1">
        <f>IF(B282="","",COUNTIF($R$4:$R$4803,B282))</f>
        <v/>
      </c>
      <c r="B282" s="1" t="n"/>
      <c r="C282" s="18">
        <f>IFERROR(
(
SUMIF('Q1'!$AM$14:$AM$613,B282,'Q1'!$T$14:$T$613)
+SUMIF('Q2'!$AM$14:$AM$613,B282,'Q2'!$T$14:$T$613)
)
/A282,"")</f>
        <v/>
      </c>
      <c r="R282">
        <f>'Q1'!AM292</f>
        <v/>
      </c>
    </row>
    <row r="283">
      <c r="A283" s="1">
        <f>IF(B283="","",COUNTIF($R$4:$R$4803,B283))</f>
        <v/>
      </c>
      <c r="B283" s="1" t="n"/>
      <c r="C283" s="18">
        <f>IFERROR(
(
SUMIF('Q1'!$AM$14:$AM$613,B283,'Q1'!$T$14:$T$613)
+SUMIF('Q2'!$AM$14:$AM$613,B283,'Q2'!$T$14:$T$613)
)
/A283,"")</f>
        <v/>
      </c>
      <c r="R283">
        <f>'Q1'!AM293</f>
        <v/>
      </c>
    </row>
    <row r="284">
      <c r="A284" s="1">
        <f>IF(B284="","",COUNTIF($R$4:$R$4803,B284))</f>
        <v/>
      </c>
      <c r="B284" s="1" t="n"/>
      <c r="C284" s="18">
        <f>IFERROR(
(
SUMIF('Q1'!$AM$14:$AM$613,B284,'Q1'!$T$14:$T$613)
+SUMIF('Q2'!$AM$14:$AM$613,B284,'Q2'!$T$14:$T$613)
)
/A284,"")</f>
        <v/>
      </c>
      <c r="R284">
        <f>'Q1'!AM294</f>
        <v/>
      </c>
    </row>
    <row r="285">
      <c r="A285" s="1">
        <f>IF(B285="","",COUNTIF($R$4:$R$4803,B285))</f>
        <v/>
      </c>
      <c r="B285" s="1" t="n"/>
      <c r="C285" s="18">
        <f>IFERROR(
(
SUMIF('Q1'!$AM$14:$AM$613,B285,'Q1'!$T$14:$T$613)
+SUMIF('Q2'!$AM$14:$AM$613,B285,'Q2'!$T$14:$T$613)
)
/A285,"")</f>
        <v/>
      </c>
      <c r="R285">
        <f>'Q1'!AM295</f>
        <v/>
      </c>
    </row>
    <row r="286">
      <c r="A286" s="1">
        <f>IF(B286="","",COUNTIF($R$4:$R$4803,B286))</f>
        <v/>
      </c>
      <c r="B286" s="1" t="n"/>
      <c r="C286" s="18">
        <f>IFERROR(
(
SUMIF('Q1'!$AM$14:$AM$613,B286,'Q1'!$T$14:$T$613)
+SUMIF('Q2'!$AM$14:$AM$613,B286,'Q2'!$T$14:$T$613)
)
/A286,"")</f>
        <v/>
      </c>
      <c r="R286">
        <f>'Q1'!AM296</f>
        <v/>
      </c>
    </row>
    <row r="287">
      <c r="A287" s="1">
        <f>IF(B287="","",COUNTIF($R$4:$R$4803,B287))</f>
        <v/>
      </c>
      <c r="B287" s="1" t="n"/>
      <c r="C287" s="18">
        <f>IFERROR(
(
SUMIF('Q1'!$AM$14:$AM$613,B287,'Q1'!$T$14:$T$613)
+SUMIF('Q2'!$AM$14:$AM$613,B287,'Q2'!$T$14:$T$613)
)
/A287,"")</f>
        <v/>
      </c>
      <c r="R287">
        <f>'Q1'!AM297</f>
        <v/>
      </c>
    </row>
    <row r="288">
      <c r="A288" s="1">
        <f>IF(B288="","",COUNTIF($R$4:$R$4803,B288))</f>
        <v/>
      </c>
      <c r="B288" s="1" t="n"/>
      <c r="C288" s="18">
        <f>IFERROR(
(
SUMIF('Q1'!$AM$14:$AM$613,B288,'Q1'!$T$14:$T$613)
+SUMIF('Q2'!$AM$14:$AM$613,B288,'Q2'!$T$14:$T$613)
)
/A288,"")</f>
        <v/>
      </c>
      <c r="R288">
        <f>'Q1'!AM298</f>
        <v/>
      </c>
    </row>
    <row r="289">
      <c r="A289" s="1">
        <f>IF(B289="","",COUNTIF($R$4:$R$4803,B289))</f>
        <v/>
      </c>
      <c r="B289" s="1" t="n"/>
      <c r="C289" s="18">
        <f>IFERROR(
(
SUMIF('Q1'!$AM$14:$AM$613,B289,'Q1'!$T$14:$T$613)
+SUMIF('Q2'!$AM$14:$AM$613,B289,'Q2'!$T$14:$T$613)
)
/A289,"")</f>
        <v/>
      </c>
      <c r="R289">
        <f>'Q1'!AM299</f>
        <v/>
      </c>
    </row>
    <row r="290">
      <c r="A290" s="1">
        <f>IF(B290="","",COUNTIF($R$4:$R$4803,B290))</f>
        <v/>
      </c>
      <c r="B290" s="1" t="n"/>
      <c r="C290" s="18">
        <f>IFERROR(
(
SUMIF('Q1'!$AM$14:$AM$613,B290,'Q1'!$T$14:$T$613)
+SUMIF('Q2'!$AM$14:$AM$613,B290,'Q2'!$T$14:$T$613)
)
/A290,"")</f>
        <v/>
      </c>
      <c r="R290">
        <f>'Q1'!AM300</f>
        <v/>
      </c>
    </row>
    <row r="291">
      <c r="A291" s="1">
        <f>IF(B291="","",COUNTIF($R$4:$R$4803,B291))</f>
        <v/>
      </c>
      <c r="B291" s="1" t="n"/>
      <c r="C291" s="18">
        <f>IFERROR(
(
SUMIF('Q1'!$AM$14:$AM$613,B291,'Q1'!$T$14:$T$613)
+SUMIF('Q2'!$AM$14:$AM$613,B291,'Q2'!$T$14:$T$613)
)
/A291,"")</f>
        <v/>
      </c>
      <c r="R291">
        <f>'Q1'!AM301</f>
        <v/>
      </c>
    </row>
    <row r="292">
      <c r="A292" s="1">
        <f>IF(B292="","",COUNTIF($R$4:$R$4803,B292))</f>
        <v/>
      </c>
      <c r="B292" s="1" t="n"/>
      <c r="C292" s="18">
        <f>IFERROR(
(
SUMIF('Q1'!$AM$14:$AM$613,B292,'Q1'!$T$14:$T$613)
+SUMIF('Q2'!$AM$14:$AM$613,B292,'Q2'!$T$14:$T$613)
)
/A292,"")</f>
        <v/>
      </c>
      <c r="R292">
        <f>'Q1'!AM302</f>
        <v/>
      </c>
    </row>
    <row r="293">
      <c r="A293" s="1">
        <f>IF(B293="","",COUNTIF($R$4:$R$4803,B293))</f>
        <v/>
      </c>
      <c r="B293" s="1" t="n"/>
      <c r="C293" s="18">
        <f>IFERROR(
(
SUMIF('Q1'!$AM$14:$AM$613,B293,'Q1'!$T$14:$T$613)
+SUMIF('Q2'!$AM$14:$AM$613,B293,'Q2'!$T$14:$T$613)
)
/A293,"")</f>
        <v/>
      </c>
      <c r="R293">
        <f>'Q1'!AM303</f>
        <v/>
      </c>
    </row>
    <row r="294">
      <c r="A294" s="1">
        <f>IF(B294="","",COUNTIF($R$4:$R$4803,B294))</f>
        <v/>
      </c>
      <c r="B294" s="1" t="n"/>
      <c r="C294" s="18">
        <f>IFERROR(
(
SUMIF('Q1'!$AM$14:$AM$613,B294,'Q1'!$T$14:$T$613)
+SUMIF('Q2'!$AM$14:$AM$613,B294,'Q2'!$T$14:$T$613)
)
/A294,"")</f>
        <v/>
      </c>
      <c r="R294">
        <f>'Q1'!AM304</f>
        <v/>
      </c>
    </row>
    <row r="295">
      <c r="A295" s="1">
        <f>IF(B295="","",COUNTIF($R$4:$R$4803,B295))</f>
        <v/>
      </c>
      <c r="B295" s="1" t="n"/>
      <c r="C295" s="18">
        <f>IFERROR(
(
SUMIF('Q1'!$AM$14:$AM$613,B295,'Q1'!$T$14:$T$613)
+SUMIF('Q2'!$AM$14:$AM$613,B295,'Q2'!$T$14:$T$613)
)
/A295,"")</f>
        <v/>
      </c>
      <c r="R295">
        <f>'Q1'!AM305</f>
        <v/>
      </c>
    </row>
    <row r="296">
      <c r="A296" s="1">
        <f>IF(B296="","",COUNTIF($R$4:$R$4803,B296))</f>
        <v/>
      </c>
      <c r="B296" s="1" t="n"/>
      <c r="C296" s="18">
        <f>IFERROR(
(
SUMIF('Q1'!$AM$14:$AM$613,B296,'Q1'!$T$14:$T$613)
+SUMIF('Q2'!$AM$14:$AM$613,B296,'Q2'!$T$14:$T$613)
)
/A296,"")</f>
        <v/>
      </c>
      <c r="R296">
        <f>'Q1'!AM306</f>
        <v/>
      </c>
    </row>
    <row r="297">
      <c r="A297" s="1">
        <f>IF(B297="","",COUNTIF($R$4:$R$4803,B297))</f>
        <v/>
      </c>
      <c r="B297" s="1" t="n"/>
      <c r="C297" s="18">
        <f>IFERROR(
(
SUMIF('Q1'!$AM$14:$AM$613,B297,'Q1'!$T$14:$T$613)
+SUMIF('Q2'!$AM$14:$AM$613,B297,'Q2'!$T$14:$T$613)
)
/A297,"")</f>
        <v/>
      </c>
      <c r="R297">
        <f>'Q1'!AM307</f>
        <v/>
      </c>
    </row>
    <row r="298">
      <c r="A298" s="1">
        <f>IF(B298="","",COUNTIF($R$4:$R$4803,B298))</f>
        <v/>
      </c>
      <c r="B298" s="1" t="n"/>
      <c r="C298" s="18">
        <f>IFERROR(
(
SUMIF('Q1'!$AM$14:$AM$613,B298,'Q1'!$T$14:$T$613)
+SUMIF('Q2'!$AM$14:$AM$613,B298,'Q2'!$T$14:$T$613)
)
/A298,"")</f>
        <v/>
      </c>
      <c r="R298">
        <f>'Q1'!AM308</f>
        <v/>
      </c>
    </row>
    <row r="299">
      <c r="A299" s="1">
        <f>IF(B299="","",COUNTIF($R$4:$R$4803,B299))</f>
        <v/>
      </c>
      <c r="B299" s="1" t="n"/>
      <c r="C299" s="18">
        <f>IFERROR(
(
SUMIF('Q1'!$AM$14:$AM$613,B299,'Q1'!$T$14:$T$613)
+SUMIF('Q2'!$AM$14:$AM$613,B299,'Q2'!$T$14:$T$613)
)
/A299,"")</f>
        <v/>
      </c>
      <c r="R299">
        <f>'Q1'!AM309</f>
        <v/>
      </c>
    </row>
    <row r="300">
      <c r="A300" s="1">
        <f>IF(B300="","",COUNTIF($R$4:$R$4803,B300))</f>
        <v/>
      </c>
      <c r="B300" s="1" t="n"/>
      <c r="C300" s="18">
        <f>IFERROR(
(
SUMIF('Q1'!$AM$14:$AM$613,B300,'Q1'!$T$14:$T$613)
+SUMIF('Q2'!$AM$14:$AM$613,B300,'Q2'!$T$14:$T$613)
)
/A300,"")</f>
        <v/>
      </c>
      <c r="R300">
        <f>'Q1'!AM310</f>
        <v/>
      </c>
    </row>
    <row r="301">
      <c r="A301" s="1">
        <f>IF(B301="","",COUNTIF($R$4:$R$4803,B301))</f>
        <v/>
      </c>
      <c r="B301" s="1" t="n"/>
      <c r="C301" s="18">
        <f>IFERROR(
(
SUMIF('Q1'!$AM$14:$AM$613,B301,'Q1'!$T$14:$T$613)
+SUMIF('Q2'!$AM$14:$AM$613,B301,'Q2'!$T$14:$T$613)
)
/A301,"")</f>
        <v/>
      </c>
      <c r="R301">
        <f>'Q1'!AM311</f>
        <v/>
      </c>
    </row>
    <row r="302">
      <c r="A302" s="1">
        <f>IF(B302="","",COUNTIF($R$4:$R$4803,B302))</f>
        <v/>
      </c>
      <c r="B302" s="1" t="n"/>
      <c r="C302" s="18">
        <f>IFERROR(
(
SUMIF('Q1'!$AM$14:$AM$613,B302,'Q1'!$T$14:$T$613)
+SUMIF('Q2'!$AM$14:$AM$613,B302,'Q2'!$T$14:$T$613)
)
/A302,"")</f>
        <v/>
      </c>
      <c r="R302">
        <f>'Q1'!AM312</f>
        <v/>
      </c>
    </row>
    <row r="303">
      <c r="A303" s="1">
        <f>IF(B303="","",COUNTIF($R$4:$R$4803,B303))</f>
        <v/>
      </c>
      <c r="B303" s="1" t="n"/>
      <c r="C303" s="18">
        <f>IFERROR(
(
SUMIF('Q1'!$AM$14:$AM$613,B303,'Q1'!$T$14:$T$613)
+SUMIF('Q2'!$AM$14:$AM$613,B303,'Q2'!$T$14:$T$613)
)
/A303,"")</f>
        <v/>
      </c>
      <c r="R303">
        <f>'Q1'!AM313</f>
        <v/>
      </c>
    </row>
    <row r="304">
      <c r="A304" s="1">
        <f>IF(B304="","",COUNTIF($R$4:$R$4803,B304))</f>
        <v/>
      </c>
      <c r="B304" s="1" t="n"/>
      <c r="C304" s="18">
        <f>IFERROR(
(
SUMIF('Q1'!$AM$14:$AM$613,B304,'Q1'!$T$14:$T$613)
+SUMIF('Q2'!$AM$14:$AM$613,B304,'Q2'!$T$14:$T$613)
)
/A304,"")</f>
        <v/>
      </c>
      <c r="R304">
        <f>'Q1'!AM314</f>
        <v/>
      </c>
    </row>
    <row r="305">
      <c r="A305" s="1">
        <f>IF(B305="","",COUNTIF($R$4:$R$4803,B305))</f>
        <v/>
      </c>
      <c r="B305" s="1" t="n"/>
      <c r="C305" s="18">
        <f>IFERROR(
(
SUMIF('Q1'!$AM$14:$AM$613,B305,'Q1'!$T$14:$T$613)
+SUMIF('Q2'!$AM$14:$AM$613,B305,'Q2'!$T$14:$T$613)
)
/A305,"")</f>
        <v/>
      </c>
      <c r="R305">
        <f>'Q1'!AM315</f>
        <v/>
      </c>
    </row>
    <row r="306">
      <c r="A306" s="1">
        <f>IF(B306="","",COUNTIF($R$4:$R$4803,B306))</f>
        <v/>
      </c>
      <c r="B306" s="1" t="n"/>
      <c r="C306" s="18">
        <f>IFERROR(
(
SUMIF('Q1'!$AM$14:$AM$613,B306,'Q1'!$T$14:$T$613)
+SUMIF('Q2'!$AM$14:$AM$613,B306,'Q2'!$T$14:$T$613)
)
/A306,"")</f>
        <v/>
      </c>
      <c r="R306">
        <f>'Q1'!AM316</f>
        <v/>
      </c>
    </row>
    <row r="307">
      <c r="A307" s="1">
        <f>IF(B307="","",COUNTIF($R$4:$R$4803,B307))</f>
        <v/>
      </c>
      <c r="B307" s="1" t="n"/>
      <c r="C307" s="18">
        <f>IFERROR(
(
SUMIF('Q1'!$AM$14:$AM$613,B307,'Q1'!$T$14:$T$613)
+SUMIF('Q2'!$AM$14:$AM$613,B307,'Q2'!$T$14:$T$613)
)
/A307,"")</f>
        <v/>
      </c>
      <c r="R307">
        <f>'Q1'!AM317</f>
        <v/>
      </c>
    </row>
    <row r="308">
      <c r="A308" s="1">
        <f>IF(B308="","",COUNTIF($R$4:$R$4803,B308))</f>
        <v/>
      </c>
      <c r="B308" s="1" t="n"/>
      <c r="C308" s="18">
        <f>IFERROR(
(
SUMIF('Q1'!$AM$14:$AM$613,B308,'Q1'!$T$14:$T$613)
+SUMIF('Q2'!$AM$14:$AM$613,B308,'Q2'!$T$14:$T$613)
)
/A308,"")</f>
        <v/>
      </c>
      <c r="R308">
        <f>'Q1'!AM318</f>
        <v/>
      </c>
    </row>
    <row r="309">
      <c r="A309" s="1">
        <f>IF(B309="","",COUNTIF($R$4:$R$4803,B309))</f>
        <v/>
      </c>
      <c r="B309" s="1" t="n"/>
      <c r="C309" s="18">
        <f>IFERROR(
(
SUMIF('Q1'!$AM$14:$AM$613,B309,'Q1'!$T$14:$T$613)
+SUMIF('Q2'!$AM$14:$AM$613,B309,'Q2'!$T$14:$T$613)
)
/A309,"")</f>
        <v/>
      </c>
      <c r="R309">
        <f>'Q1'!AM319</f>
        <v/>
      </c>
    </row>
    <row r="310">
      <c r="A310" s="1">
        <f>IF(B310="","",COUNTIF($R$4:$R$4803,B310))</f>
        <v/>
      </c>
      <c r="B310" s="1" t="n"/>
      <c r="C310" s="18">
        <f>IFERROR(
(
SUMIF('Q1'!$AM$14:$AM$613,B310,'Q1'!$T$14:$T$613)
+SUMIF('Q2'!$AM$14:$AM$613,B310,'Q2'!$T$14:$T$613)
)
/A310,"")</f>
        <v/>
      </c>
      <c r="R310">
        <f>'Q1'!AM320</f>
        <v/>
      </c>
    </row>
    <row r="311">
      <c r="A311" s="1">
        <f>IF(B311="","",COUNTIF($R$4:$R$4803,B311))</f>
        <v/>
      </c>
      <c r="B311" s="1" t="n"/>
      <c r="C311" s="18">
        <f>IFERROR(
(
SUMIF('Q1'!$AM$14:$AM$613,B311,'Q1'!$T$14:$T$613)
+SUMIF('Q2'!$AM$14:$AM$613,B311,'Q2'!$T$14:$T$613)
)
/A311,"")</f>
        <v/>
      </c>
      <c r="R311">
        <f>'Q1'!AM321</f>
        <v/>
      </c>
    </row>
    <row r="312">
      <c r="A312" s="1">
        <f>IF(B312="","",COUNTIF($R$4:$R$4803,B312))</f>
        <v/>
      </c>
      <c r="B312" s="1" t="n"/>
      <c r="C312" s="18">
        <f>IFERROR(
(
SUMIF('Q1'!$AM$14:$AM$613,B312,'Q1'!$T$14:$T$613)
+SUMIF('Q2'!$AM$14:$AM$613,B312,'Q2'!$T$14:$T$613)
)
/A312,"")</f>
        <v/>
      </c>
      <c r="R312">
        <f>'Q1'!AM322</f>
        <v/>
      </c>
    </row>
    <row r="313">
      <c r="A313" s="1">
        <f>IF(B313="","",COUNTIF($R$4:$R$4803,B313))</f>
        <v/>
      </c>
      <c r="B313" s="1" t="n"/>
      <c r="C313" s="18">
        <f>IFERROR(
(
SUMIF('Q1'!$AM$14:$AM$613,B313,'Q1'!$T$14:$T$613)
+SUMIF('Q2'!$AM$14:$AM$613,B313,'Q2'!$T$14:$T$613)
)
/A313,"")</f>
        <v/>
      </c>
      <c r="R313">
        <f>'Q1'!AM323</f>
        <v/>
      </c>
    </row>
    <row r="314">
      <c r="A314" s="1">
        <f>IF(B314="","",COUNTIF($R$4:$R$4803,B314))</f>
        <v/>
      </c>
      <c r="B314" s="1" t="n"/>
      <c r="C314" s="18">
        <f>IFERROR(
(
SUMIF('Q1'!$AM$14:$AM$613,B314,'Q1'!$T$14:$T$613)
+SUMIF('Q2'!$AM$14:$AM$613,B314,'Q2'!$T$14:$T$613)
)
/A314,"")</f>
        <v/>
      </c>
      <c r="R314">
        <f>'Q1'!AM324</f>
        <v/>
      </c>
    </row>
    <row r="315">
      <c r="A315" s="1">
        <f>IF(B315="","",COUNTIF($R$4:$R$4803,B315))</f>
        <v/>
      </c>
      <c r="B315" s="1" t="n"/>
      <c r="C315" s="18">
        <f>IFERROR(
(
SUMIF('Q1'!$AM$14:$AM$613,B315,'Q1'!$T$14:$T$613)
+SUMIF('Q2'!$AM$14:$AM$613,B315,'Q2'!$T$14:$T$613)
)
/A315,"")</f>
        <v/>
      </c>
      <c r="R315">
        <f>'Q1'!AM325</f>
        <v/>
      </c>
    </row>
    <row r="316">
      <c r="A316" s="1">
        <f>IF(B316="","",COUNTIF($R$4:$R$4803,B316))</f>
        <v/>
      </c>
      <c r="B316" s="1" t="n"/>
      <c r="C316" s="18">
        <f>IFERROR(
(
SUMIF('Q1'!$AM$14:$AM$613,B316,'Q1'!$T$14:$T$613)
+SUMIF('Q2'!$AM$14:$AM$613,B316,'Q2'!$T$14:$T$613)
)
/A316,"")</f>
        <v/>
      </c>
      <c r="R316">
        <f>'Q1'!AM326</f>
        <v/>
      </c>
    </row>
    <row r="317">
      <c r="A317" s="1">
        <f>IF(B317="","",COUNTIF($R$4:$R$4803,B317))</f>
        <v/>
      </c>
      <c r="B317" s="1" t="n"/>
      <c r="C317" s="18">
        <f>IFERROR(
(
SUMIF('Q1'!$AM$14:$AM$613,B317,'Q1'!$T$14:$T$613)
+SUMIF('Q2'!$AM$14:$AM$613,B317,'Q2'!$T$14:$T$613)
)
/A317,"")</f>
        <v/>
      </c>
      <c r="R317">
        <f>'Q1'!AM327</f>
        <v/>
      </c>
    </row>
    <row r="318">
      <c r="A318" s="1">
        <f>IF(B318="","",COUNTIF($R$4:$R$4803,B318))</f>
        <v/>
      </c>
      <c r="B318" s="1" t="n"/>
      <c r="C318" s="18">
        <f>IFERROR(
(
SUMIF('Q1'!$AM$14:$AM$613,B318,'Q1'!$T$14:$T$613)
+SUMIF('Q2'!$AM$14:$AM$613,B318,'Q2'!$T$14:$T$613)
)
/A318,"")</f>
        <v/>
      </c>
      <c r="R318">
        <f>'Q1'!AM328</f>
        <v/>
      </c>
    </row>
    <row r="319">
      <c r="A319" s="1">
        <f>IF(B319="","",COUNTIF($R$4:$R$4803,B319))</f>
        <v/>
      </c>
      <c r="B319" s="1" t="n"/>
      <c r="C319" s="18">
        <f>IFERROR(
(
SUMIF('Q1'!$AM$14:$AM$613,B319,'Q1'!$T$14:$T$613)
+SUMIF('Q2'!$AM$14:$AM$613,B319,'Q2'!$T$14:$T$613)
)
/A319,"")</f>
        <v/>
      </c>
      <c r="R319">
        <f>'Q1'!AM329</f>
        <v/>
      </c>
    </row>
    <row r="320">
      <c r="A320" s="1">
        <f>IF(B320="","",COUNTIF($R$4:$R$4803,B320))</f>
        <v/>
      </c>
      <c r="B320" s="1" t="n"/>
      <c r="C320" s="18">
        <f>IFERROR(
(
SUMIF('Q1'!$AM$14:$AM$613,B320,'Q1'!$T$14:$T$613)
+SUMIF('Q2'!$AM$14:$AM$613,B320,'Q2'!$T$14:$T$613)
)
/A320,"")</f>
        <v/>
      </c>
      <c r="R320">
        <f>'Q1'!AM330</f>
        <v/>
      </c>
    </row>
    <row r="321">
      <c r="A321" s="1">
        <f>IF(B321="","",COUNTIF($R$4:$R$4803,B321))</f>
        <v/>
      </c>
      <c r="B321" s="1" t="n"/>
      <c r="C321" s="18">
        <f>IFERROR(
(
SUMIF('Q1'!$AM$14:$AM$613,B321,'Q1'!$T$14:$T$613)
+SUMIF('Q2'!$AM$14:$AM$613,B321,'Q2'!$T$14:$T$613)
)
/A321,"")</f>
        <v/>
      </c>
      <c r="R321">
        <f>'Q1'!AM331</f>
        <v/>
      </c>
    </row>
    <row r="322">
      <c r="A322" s="1">
        <f>IF(B322="","",COUNTIF($R$4:$R$4803,B322))</f>
        <v/>
      </c>
      <c r="B322" s="1" t="n"/>
      <c r="C322" s="18">
        <f>IFERROR(
(
SUMIF('Q1'!$AM$14:$AM$613,B322,'Q1'!$T$14:$T$613)
+SUMIF('Q2'!$AM$14:$AM$613,B322,'Q2'!$T$14:$T$613)
)
/A322,"")</f>
        <v/>
      </c>
      <c r="R322">
        <f>'Q1'!AM332</f>
        <v/>
      </c>
    </row>
    <row r="323">
      <c r="A323" s="1">
        <f>IF(B323="","",COUNTIF($R$4:$R$4803,B323))</f>
        <v/>
      </c>
      <c r="B323" s="1" t="n"/>
      <c r="C323" s="18">
        <f>IFERROR(
(
SUMIF('Q1'!$AM$14:$AM$613,B323,'Q1'!$T$14:$T$613)
+SUMIF('Q2'!$AM$14:$AM$613,B323,'Q2'!$T$14:$T$613)
)
/A323,"")</f>
        <v/>
      </c>
      <c r="R323">
        <f>'Q1'!AM333</f>
        <v/>
      </c>
    </row>
    <row r="324">
      <c r="A324" s="1">
        <f>IF(B324="","",COUNTIF($R$4:$R$4803,B324))</f>
        <v/>
      </c>
      <c r="B324" s="1" t="n"/>
      <c r="C324" s="18">
        <f>IFERROR(
(
SUMIF('Q1'!$AM$14:$AM$613,B324,'Q1'!$T$14:$T$613)
+SUMIF('Q2'!$AM$14:$AM$613,B324,'Q2'!$T$14:$T$613)
)
/A324,"")</f>
        <v/>
      </c>
      <c r="R324">
        <f>'Q1'!AM334</f>
        <v/>
      </c>
    </row>
    <row r="325">
      <c r="A325" s="1">
        <f>IF(B325="","",COUNTIF($R$4:$R$4803,B325))</f>
        <v/>
      </c>
      <c r="B325" s="1" t="n"/>
      <c r="C325" s="18">
        <f>IFERROR(
(
SUMIF('Q1'!$AM$14:$AM$613,B325,'Q1'!$T$14:$T$613)
+SUMIF('Q2'!$AM$14:$AM$613,B325,'Q2'!$T$14:$T$613)
)
/A325,"")</f>
        <v/>
      </c>
      <c r="R325">
        <f>'Q1'!AM335</f>
        <v/>
      </c>
    </row>
    <row r="326">
      <c r="A326" s="1">
        <f>IF(B326="","",COUNTIF($R$4:$R$4803,B326))</f>
        <v/>
      </c>
      <c r="B326" s="1" t="n"/>
      <c r="C326" s="18">
        <f>IFERROR(
(
SUMIF('Q1'!$AM$14:$AM$613,B326,'Q1'!$T$14:$T$613)
+SUMIF('Q2'!$AM$14:$AM$613,B326,'Q2'!$T$14:$T$613)
)
/A326,"")</f>
        <v/>
      </c>
      <c r="R326">
        <f>'Q1'!AM336</f>
        <v/>
      </c>
    </row>
    <row r="327">
      <c r="A327" s="1">
        <f>IF(B327="","",COUNTIF($R$4:$R$4803,B327))</f>
        <v/>
      </c>
      <c r="B327" s="1" t="n"/>
      <c r="C327" s="18">
        <f>IFERROR(
(
SUMIF('Q1'!$AM$14:$AM$613,B327,'Q1'!$T$14:$T$613)
+SUMIF('Q2'!$AM$14:$AM$613,B327,'Q2'!$T$14:$T$613)
)
/A327,"")</f>
        <v/>
      </c>
      <c r="R327">
        <f>'Q1'!AM337</f>
        <v/>
      </c>
    </row>
    <row r="328">
      <c r="A328" s="1">
        <f>IF(B328="","",COUNTIF($R$4:$R$4803,B328))</f>
        <v/>
      </c>
      <c r="B328" s="1" t="n"/>
      <c r="C328" s="18">
        <f>IFERROR(
(
SUMIF('Q1'!$AM$14:$AM$613,B328,'Q1'!$T$14:$T$613)
+SUMIF('Q2'!$AM$14:$AM$613,B328,'Q2'!$T$14:$T$613)
)
/A328,"")</f>
        <v/>
      </c>
      <c r="R328">
        <f>'Q1'!AM338</f>
        <v/>
      </c>
    </row>
    <row r="329">
      <c r="A329" s="1">
        <f>IF(B329="","",COUNTIF($R$4:$R$4803,B329))</f>
        <v/>
      </c>
      <c r="B329" s="1" t="n"/>
      <c r="C329" s="18">
        <f>IFERROR(
(
SUMIF('Q1'!$AM$14:$AM$613,B329,'Q1'!$T$14:$T$613)
+SUMIF('Q2'!$AM$14:$AM$613,B329,'Q2'!$T$14:$T$613)
)
/A329,"")</f>
        <v/>
      </c>
      <c r="R329">
        <f>'Q1'!AM339</f>
        <v/>
      </c>
    </row>
    <row r="330">
      <c r="A330" s="1">
        <f>IF(B330="","",COUNTIF($R$4:$R$4803,B330))</f>
        <v/>
      </c>
      <c r="B330" s="1" t="n"/>
      <c r="C330" s="18">
        <f>IFERROR(
(
SUMIF('Q1'!$AM$14:$AM$613,B330,'Q1'!$T$14:$T$613)
+SUMIF('Q2'!$AM$14:$AM$613,B330,'Q2'!$T$14:$T$613)
)
/A330,"")</f>
        <v/>
      </c>
      <c r="R330">
        <f>'Q1'!AM340</f>
        <v/>
      </c>
    </row>
    <row r="331">
      <c r="A331" s="1">
        <f>IF(B331="","",COUNTIF($R$4:$R$4803,B331))</f>
        <v/>
      </c>
      <c r="B331" s="1" t="n"/>
      <c r="C331" s="18">
        <f>IFERROR(
(
SUMIF('Q1'!$AM$14:$AM$613,B331,'Q1'!$T$14:$T$613)
+SUMIF('Q2'!$AM$14:$AM$613,B331,'Q2'!$T$14:$T$613)
)
/A331,"")</f>
        <v/>
      </c>
      <c r="R331">
        <f>'Q1'!AM341</f>
        <v/>
      </c>
    </row>
    <row r="332">
      <c r="A332" s="1">
        <f>IF(B332="","",COUNTIF($R$4:$R$4803,B332))</f>
        <v/>
      </c>
      <c r="B332" s="1" t="n"/>
      <c r="C332" s="18">
        <f>IFERROR(
(
SUMIF('Q1'!$AM$14:$AM$613,B332,'Q1'!$T$14:$T$613)
+SUMIF('Q2'!$AM$14:$AM$613,B332,'Q2'!$T$14:$T$613)
)
/A332,"")</f>
        <v/>
      </c>
      <c r="R332">
        <f>'Q1'!AM342</f>
        <v/>
      </c>
    </row>
    <row r="333">
      <c r="A333" s="1">
        <f>IF(B333="","",COUNTIF($R$4:$R$4803,B333))</f>
        <v/>
      </c>
      <c r="B333" s="1" t="n"/>
      <c r="C333" s="18">
        <f>IFERROR(
(
SUMIF('Q1'!$AM$14:$AM$613,B333,'Q1'!$T$14:$T$613)
+SUMIF('Q2'!$AM$14:$AM$613,B333,'Q2'!$T$14:$T$613)
)
/A333,"")</f>
        <v/>
      </c>
      <c r="R333">
        <f>'Q1'!AM343</f>
        <v/>
      </c>
    </row>
    <row r="334">
      <c r="A334" s="1">
        <f>IF(B334="","",COUNTIF($R$4:$R$4803,B334))</f>
        <v/>
      </c>
      <c r="B334" s="1" t="n"/>
      <c r="C334" s="18">
        <f>IFERROR(
(
SUMIF('Q1'!$AM$14:$AM$613,B334,'Q1'!$T$14:$T$613)
+SUMIF('Q2'!$AM$14:$AM$613,B334,'Q2'!$T$14:$T$613)
)
/A334,"")</f>
        <v/>
      </c>
      <c r="R334">
        <f>'Q1'!AM344</f>
        <v/>
      </c>
    </row>
    <row r="335">
      <c r="A335" s="1">
        <f>IF(B335="","",COUNTIF($R$4:$R$4803,B335))</f>
        <v/>
      </c>
      <c r="B335" s="1" t="n"/>
      <c r="C335" s="18">
        <f>IFERROR(
(
SUMIF('Q1'!$AM$14:$AM$613,B335,'Q1'!$T$14:$T$613)
+SUMIF('Q2'!$AM$14:$AM$613,B335,'Q2'!$T$14:$T$613)
)
/A335,"")</f>
        <v/>
      </c>
      <c r="R335">
        <f>'Q1'!AM345</f>
        <v/>
      </c>
    </row>
    <row r="336">
      <c r="A336" s="1">
        <f>IF(B336="","",COUNTIF($R$4:$R$4803,B336))</f>
        <v/>
      </c>
      <c r="B336" s="1" t="n"/>
      <c r="C336" s="18">
        <f>IFERROR(
(
SUMIF('Q1'!$AM$14:$AM$613,B336,'Q1'!$T$14:$T$613)
+SUMIF('Q2'!$AM$14:$AM$613,B336,'Q2'!$T$14:$T$613)
)
/A336,"")</f>
        <v/>
      </c>
      <c r="R336">
        <f>'Q1'!AM346</f>
        <v/>
      </c>
    </row>
    <row r="337">
      <c r="A337" s="1">
        <f>IF(B337="","",COUNTIF($R$4:$R$4803,B337))</f>
        <v/>
      </c>
      <c r="B337" s="1" t="n"/>
      <c r="C337" s="18">
        <f>IFERROR(
(
SUMIF('Q1'!$AM$14:$AM$613,B337,'Q1'!$T$14:$T$613)
+SUMIF('Q2'!$AM$14:$AM$613,B337,'Q2'!$T$14:$T$613)
)
/A337,"")</f>
        <v/>
      </c>
      <c r="R337">
        <f>'Q1'!AM347</f>
        <v/>
      </c>
    </row>
    <row r="338">
      <c r="A338" s="1">
        <f>IF(B338="","",COUNTIF($R$4:$R$4803,B338))</f>
        <v/>
      </c>
      <c r="B338" s="1" t="n"/>
      <c r="C338" s="18">
        <f>IFERROR(
(
SUMIF('Q1'!$AM$14:$AM$613,B338,'Q1'!$T$14:$T$613)
+SUMIF('Q2'!$AM$14:$AM$613,B338,'Q2'!$T$14:$T$613)
)
/A338,"")</f>
        <v/>
      </c>
      <c r="R338">
        <f>'Q1'!AM348</f>
        <v/>
      </c>
    </row>
    <row r="339">
      <c r="A339" s="1">
        <f>IF(B339="","",COUNTIF($R$4:$R$4803,B339))</f>
        <v/>
      </c>
      <c r="B339" s="1" t="n"/>
      <c r="C339" s="18">
        <f>IFERROR(
(
SUMIF('Q1'!$AM$14:$AM$613,B339,'Q1'!$T$14:$T$613)
+SUMIF('Q2'!$AM$14:$AM$613,B339,'Q2'!$T$14:$T$613)
)
/A339,"")</f>
        <v/>
      </c>
      <c r="R339">
        <f>'Q1'!AM349</f>
        <v/>
      </c>
    </row>
    <row r="340">
      <c r="A340" s="1">
        <f>IF(B340="","",COUNTIF($R$4:$R$4803,B340))</f>
        <v/>
      </c>
      <c r="B340" s="1" t="n"/>
      <c r="C340" s="18">
        <f>IFERROR(
(
SUMIF('Q1'!$AM$14:$AM$613,B340,'Q1'!$T$14:$T$613)
+SUMIF('Q2'!$AM$14:$AM$613,B340,'Q2'!$T$14:$T$613)
)
/A340,"")</f>
        <v/>
      </c>
      <c r="R340">
        <f>'Q1'!AM350</f>
        <v/>
      </c>
    </row>
    <row r="341">
      <c r="A341" s="1">
        <f>IF(B341="","",COUNTIF($R$4:$R$4803,B341))</f>
        <v/>
      </c>
      <c r="B341" s="1" t="n"/>
      <c r="C341" s="18">
        <f>IFERROR(
(
SUMIF('Q1'!$AM$14:$AM$613,B341,'Q1'!$T$14:$T$613)
+SUMIF('Q2'!$AM$14:$AM$613,B341,'Q2'!$T$14:$T$613)
)
/A341,"")</f>
        <v/>
      </c>
      <c r="R341">
        <f>'Q1'!AM351</f>
        <v/>
      </c>
    </row>
    <row r="342">
      <c r="A342" s="1">
        <f>IF(B342="","",COUNTIF($R$4:$R$4803,B342))</f>
        <v/>
      </c>
      <c r="B342" s="1" t="n"/>
      <c r="C342" s="18">
        <f>IFERROR(
(
SUMIF('Q1'!$AM$14:$AM$613,B342,'Q1'!$T$14:$T$613)
+SUMIF('Q2'!$AM$14:$AM$613,B342,'Q2'!$T$14:$T$613)
)
/A342,"")</f>
        <v/>
      </c>
      <c r="R342">
        <f>'Q1'!AM352</f>
        <v/>
      </c>
    </row>
    <row r="343">
      <c r="A343" s="1">
        <f>IF(B343="","",COUNTIF($R$4:$R$4803,B343))</f>
        <v/>
      </c>
      <c r="B343" s="1" t="n"/>
      <c r="C343" s="18">
        <f>IFERROR(
(
SUMIF('Q1'!$AM$14:$AM$613,B343,'Q1'!$T$14:$T$613)
+SUMIF('Q2'!$AM$14:$AM$613,B343,'Q2'!$T$14:$T$613)
)
/A343,"")</f>
        <v/>
      </c>
      <c r="R343">
        <f>'Q1'!AM353</f>
        <v/>
      </c>
    </row>
    <row r="344">
      <c r="A344" s="1">
        <f>IF(B344="","",COUNTIF($R$4:$R$4803,B344))</f>
        <v/>
      </c>
      <c r="B344" s="1" t="n"/>
      <c r="C344" s="18">
        <f>IFERROR(
(
SUMIF('Q1'!$AM$14:$AM$613,B344,'Q1'!$T$14:$T$613)
+SUMIF('Q2'!$AM$14:$AM$613,B344,'Q2'!$T$14:$T$613)
)
/A344,"")</f>
        <v/>
      </c>
      <c r="R344">
        <f>'Q1'!AM354</f>
        <v/>
      </c>
    </row>
    <row r="345">
      <c r="A345" s="1">
        <f>IF(B345="","",COUNTIF($R$4:$R$4803,B345))</f>
        <v/>
      </c>
      <c r="B345" s="1" t="n"/>
      <c r="C345" s="18">
        <f>IFERROR(
(
SUMIF('Q1'!$AM$14:$AM$613,B345,'Q1'!$T$14:$T$613)
+SUMIF('Q2'!$AM$14:$AM$613,B345,'Q2'!$T$14:$T$613)
)
/A345,"")</f>
        <v/>
      </c>
      <c r="R345">
        <f>'Q1'!AM355</f>
        <v/>
      </c>
    </row>
    <row r="346">
      <c r="A346" s="1">
        <f>IF(B346="","",COUNTIF($R$4:$R$4803,B346))</f>
        <v/>
      </c>
      <c r="B346" s="1" t="n"/>
      <c r="C346" s="18">
        <f>IFERROR(
(
SUMIF('Q1'!$AM$14:$AM$613,B346,'Q1'!$T$14:$T$613)
+SUMIF('Q2'!$AM$14:$AM$613,B346,'Q2'!$T$14:$T$613)
)
/A346,"")</f>
        <v/>
      </c>
      <c r="R346">
        <f>'Q1'!AM356</f>
        <v/>
      </c>
    </row>
    <row r="347">
      <c r="A347" s="1">
        <f>IF(B347="","",COUNTIF($R$4:$R$4803,B347))</f>
        <v/>
      </c>
      <c r="B347" s="1" t="n"/>
      <c r="C347" s="18">
        <f>IFERROR(
(
SUMIF('Q1'!$AM$14:$AM$613,B347,'Q1'!$T$14:$T$613)
+SUMIF('Q2'!$AM$14:$AM$613,B347,'Q2'!$T$14:$T$613)
)
/A347,"")</f>
        <v/>
      </c>
      <c r="R347">
        <f>'Q1'!AM357</f>
        <v/>
      </c>
    </row>
    <row r="348">
      <c r="A348" s="1">
        <f>IF(B348="","",COUNTIF($R$4:$R$4803,B348))</f>
        <v/>
      </c>
      <c r="B348" s="1" t="n"/>
      <c r="C348" s="18">
        <f>IFERROR(
(
SUMIF('Q1'!$AM$14:$AM$613,B348,'Q1'!$T$14:$T$613)
+SUMIF('Q2'!$AM$14:$AM$613,B348,'Q2'!$T$14:$T$613)
)
/A348,"")</f>
        <v/>
      </c>
      <c r="R348">
        <f>'Q1'!AM358</f>
        <v/>
      </c>
    </row>
    <row r="349">
      <c r="A349" s="1">
        <f>IF(B349="","",COUNTIF($R$4:$R$4803,B349))</f>
        <v/>
      </c>
      <c r="B349" s="1" t="n"/>
      <c r="C349" s="18">
        <f>IFERROR(
(
SUMIF('Q1'!$AM$14:$AM$613,B349,'Q1'!$T$14:$T$613)
+SUMIF('Q2'!$AM$14:$AM$613,B349,'Q2'!$T$14:$T$613)
)
/A349,"")</f>
        <v/>
      </c>
      <c r="R349">
        <f>'Q1'!AM359</f>
        <v/>
      </c>
    </row>
    <row r="350">
      <c r="A350" s="1">
        <f>IF(B350="","",COUNTIF($R$4:$R$4803,B350))</f>
        <v/>
      </c>
      <c r="B350" s="1" t="n"/>
      <c r="C350" s="18">
        <f>IFERROR(
(
SUMIF('Q1'!$AM$14:$AM$613,B350,'Q1'!$T$14:$T$613)
+SUMIF('Q2'!$AM$14:$AM$613,B350,'Q2'!$T$14:$T$613)
)
/A350,"")</f>
        <v/>
      </c>
      <c r="R350">
        <f>'Q1'!AM360</f>
        <v/>
      </c>
    </row>
    <row r="351">
      <c r="A351" s="1">
        <f>IF(B351="","",COUNTIF($R$4:$R$4803,B351))</f>
        <v/>
      </c>
      <c r="B351" s="1" t="n"/>
      <c r="C351" s="18">
        <f>IFERROR(
(
SUMIF('Q1'!$AM$14:$AM$613,B351,'Q1'!$T$14:$T$613)
+SUMIF('Q2'!$AM$14:$AM$613,B351,'Q2'!$T$14:$T$613)
)
/A351,"")</f>
        <v/>
      </c>
      <c r="R351">
        <f>'Q1'!AM361</f>
        <v/>
      </c>
    </row>
    <row r="352">
      <c r="A352" s="1">
        <f>IF(B352="","",COUNTIF($R$4:$R$4803,B352))</f>
        <v/>
      </c>
      <c r="B352" s="1" t="n"/>
      <c r="C352" s="18">
        <f>IFERROR(
(
SUMIF('Q1'!$AM$14:$AM$613,B352,'Q1'!$T$14:$T$613)
+SUMIF('Q2'!$AM$14:$AM$613,B352,'Q2'!$T$14:$T$613)
)
/A352,"")</f>
        <v/>
      </c>
      <c r="R352">
        <f>'Q1'!AM362</f>
        <v/>
      </c>
    </row>
    <row r="353">
      <c r="A353" s="1">
        <f>IF(B353="","",COUNTIF($R$4:$R$4803,B353))</f>
        <v/>
      </c>
      <c r="B353" s="1" t="n"/>
      <c r="C353" s="18">
        <f>IFERROR(
(
SUMIF('Q1'!$AM$14:$AM$613,B353,'Q1'!$T$14:$T$613)
+SUMIF('Q2'!$AM$14:$AM$613,B353,'Q2'!$T$14:$T$613)
)
/A353,"")</f>
        <v/>
      </c>
      <c r="R353">
        <f>'Q1'!AM363</f>
        <v/>
      </c>
    </row>
    <row r="354">
      <c r="A354" s="1">
        <f>IF(B354="","",COUNTIF($R$4:$R$4803,B354))</f>
        <v/>
      </c>
      <c r="B354" s="1" t="n"/>
      <c r="C354" s="18">
        <f>IFERROR(
(
SUMIF('Q1'!$AM$14:$AM$613,B354,'Q1'!$T$14:$T$613)
+SUMIF('Q2'!$AM$14:$AM$613,B354,'Q2'!$T$14:$T$613)
)
/A354,"")</f>
        <v/>
      </c>
      <c r="R354">
        <f>'Q1'!AM364</f>
        <v/>
      </c>
    </row>
    <row r="355">
      <c r="A355" s="1">
        <f>IF(B355="","",COUNTIF($R$4:$R$4803,B355))</f>
        <v/>
      </c>
      <c r="B355" s="1" t="n"/>
      <c r="C355" s="18">
        <f>IFERROR(
(
SUMIF('Q1'!$AM$14:$AM$613,B355,'Q1'!$T$14:$T$613)
+SUMIF('Q2'!$AM$14:$AM$613,B355,'Q2'!$T$14:$T$613)
)
/A355,"")</f>
        <v/>
      </c>
      <c r="R355">
        <f>'Q1'!AM365</f>
        <v/>
      </c>
    </row>
    <row r="356">
      <c r="A356" s="1">
        <f>IF(B356="","",COUNTIF($R$4:$R$4803,B356))</f>
        <v/>
      </c>
      <c r="B356" s="1" t="n"/>
      <c r="C356" s="18">
        <f>IFERROR(
(
SUMIF('Q1'!$AM$14:$AM$613,B356,'Q1'!$T$14:$T$613)
+SUMIF('Q2'!$AM$14:$AM$613,B356,'Q2'!$T$14:$T$613)
)
/A356,"")</f>
        <v/>
      </c>
      <c r="R356">
        <f>'Q1'!AM366</f>
        <v/>
      </c>
    </row>
    <row r="357">
      <c r="A357" s="1">
        <f>IF(B357="","",COUNTIF($R$4:$R$4803,B357))</f>
        <v/>
      </c>
      <c r="B357" s="1" t="n"/>
      <c r="C357" s="18">
        <f>IFERROR(
(
SUMIF('Q1'!$AM$14:$AM$613,B357,'Q1'!$T$14:$T$613)
+SUMIF('Q2'!$AM$14:$AM$613,B357,'Q2'!$T$14:$T$613)
)
/A357,"")</f>
        <v/>
      </c>
      <c r="R357">
        <f>'Q1'!AM367</f>
        <v/>
      </c>
    </row>
    <row r="358">
      <c r="A358" s="1">
        <f>IF(B358="","",COUNTIF($R$4:$R$4803,B358))</f>
        <v/>
      </c>
      <c r="B358" s="1" t="n"/>
      <c r="C358" s="18">
        <f>IFERROR(
(
SUMIF('Q1'!$AM$14:$AM$613,B358,'Q1'!$T$14:$T$613)
+SUMIF('Q2'!$AM$14:$AM$613,B358,'Q2'!$T$14:$T$613)
)
/A358,"")</f>
        <v/>
      </c>
      <c r="R358">
        <f>'Q1'!AM368</f>
        <v/>
      </c>
    </row>
    <row r="359">
      <c r="A359" s="1">
        <f>IF(B359="","",COUNTIF($R$4:$R$4803,B359))</f>
        <v/>
      </c>
      <c r="B359" s="1" t="n"/>
      <c r="C359" s="18">
        <f>IFERROR(
(
SUMIF('Q1'!$AM$14:$AM$613,B359,'Q1'!$T$14:$T$613)
+SUMIF('Q2'!$AM$14:$AM$613,B359,'Q2'!$T$14:$T$613)
)
/A359,"")</f>
        <v/>
      </c>
      <c r="R359">
        <f>'Q1'!AM369</f>
        <v/>
      </c>
    </row>
    <row r="360">
      <c r="A360" s="1">
        <f>IF(B360="","",COUNTIF($R$4:$R$4803,B360))</f>
        <v/>
      </c>
      <c r="B360" s="1" t="n"/>
      <c r="C360" s="18">
        <f>IFERROR(
(
SUMIF('Q1'!$AM$14:$AM$613,B360,'Q1'!$T$14:$T$613)
+SUMIF('Q2'!$AM$14:$AM$613,B360,'Q2'!$T$14:$T$613)
)
/A360,"")</f>
        <v/>
      </c>
      <c r="R360">
        <f>'Q1'!AM370</f>
        <v/>
      </c>
    </row>
    <row r="361">
      <c r="A361" s="1">
        <f>IF(B361="","",COUNTIF($R$4:$R$4803,B361))</f>
        <v/>
      </c>
      <c r="B361" s="1" t="n"/>
      <c r="C361" s="18">
        <f>IFERROR(
(
SUMIF('Q1'!$AM$14:$AM$613,B361,'Q1'!$T$14:$T$613)
+SUMIF('Q2'!$AM$14:$AM$613,B361,'Q2'!$T$14:$T$613)
)
/A361,"")</f>
        <v/>
      </c>
      <c r="R361">
        <f>'Q1'!AM371</f>
        <v/>
      </c>
    </row>
    <row r="362">
      <c r="A362" s="1">
        <f>IF(B362="","",COUNTIF($R$4:$R$4803,B362))</f>
        <v/>
      </c>
      <c r="B362" s="1" t="n"/>
      <c r="C362" s="18">
        <f>IFERROR(
(
SUMIF('Q1'!$AM$14:$AM$613,B362,'Q1'!$T$14:$T$613)
+SUMIF('Q2'!$AM$14:$AM$613,B362,'Q2'!$T$14:$T$613)
)
/A362,"")</f>
        <v/>
      </c>
      <c r="R362">
        <f>'Q1'!AM372</f>
        <v/>
      </c>
    </row>
    <row r="363">
      <c r="A363" s="1">
        <f>IF(B363="","",COUNTIF($R$4:$R$4803,B363))</f>
        <v/>
      </c>
      <c r="B363" s="1" t="n"/>
      <c r="C363" s="18">
        <f>IFERROR(
(
SUMIF('Q1'!$AM$14:$AM$613,B363,'Q1'!$T$14:$T$613)
+SUMIF('Q2'!$AM$14:$AM$613,B363,'Q2'!$T$14:$T$613)
)
/A363,"")</f>
        <v/>
      </c>
      <c r="R363">
        <f>'Q1'!AM373</f>
        <v/>
      </c>
    </row>
    <row r="364">
      <c r="A364" s="1">
        <f>IF(B364="","",COUNTIF($R$4:$R$4803,B364))</f>
        <v/>
      </c>
      <c r="B364" s="1" t="n"/>
      <c r="C364" s="18">
        <f>IFERROR(
(
SUMIF('Q1'!$AM$14:$AM$613,B364,'Q1'!$T$14:$T$613)
+SUMIF('Q2'!$AM$14:$AM$613,B364,'Q2'!$T$14:$T$613)
)
/A364,"")</f>
        <v/>
      </c>
      <c r="R364">
        <f>'Q1'!AM374</f>
        <v/>
      </c>
    </row>
    <row r="365">
      <c r="A365" s="1">
        <f>IF(B365="","",COUNTIF($R$4:$R$4803,B365))</f>
        <v/>
      </c>
      <c r="B365" s="1" t="n"/>
      <c r="C365" s="18">
        <f>IFERROR(
(
SUMIF('Q1'!$AM$14:$AM$613,B365,'Q1'!$T$14:$T$613)
+SUMIF('Q2'!$AM$14:$AM$613,B365,'Q2'!$T$14:$T$613)
)
/A365,"")</f>
        <v/>
      </c>
      <c r="R365">
        <f>'Q1'!AM375</f>
        <v/>
      </c>
    </row>
    <row r="366">
      <c r="A366" s="1">
        <f>IF(B366="","",COUNTIF($R$4:$R$4803,B366))</f>
        <v/>
      </c>
      <c r="B366" s="1" t="n"/>
      <c r="C366" s="18">
        <f>IFERROR(
(
SUMIF('Q1'!$AM$14:$AM$613,B366,'Q1'!$T$14:$T$613)
+SUMIF('Q2'!$AM$14:$AM$613,B366,'Q2'!$T$14:$T$613)
)
/A366,"")</f>
        <v/>
      </c>
      <c r="R366">
        <f>'Q1'!AM376</f>
        <v/>
      </c>
    </row>
    <row r="367">
      <c r="A367" s="1">
        <f>IF(B367="","",COUNTIF($R$4:$R$4803,B367))</f>
        <v/>
      </c>
      <c r="B367" s="1" t="n"/>
      <c r="C367" s="18">
        <f>IFERROR(
(
SUMIF('Q1'!$AM$14:$AM$613,B367,'Q1'!$T$14:$T$613)
+SUMIF('Q2'!$AM$14:$AM$613,B367,'Q2'!$T$14:$T$613)
)
/A367,"")</f>
        <v/>
      </c>
      <c r="R367">
        <f>'Q1'!AM377</f>
        <v/>
      </c>
    </row>
    <row r="368">
      <c r="A368" s="1">
        <f>IF(B368="","",COUNTIF($R$4:$R$4803,B368))</f>
        <v/>
      </c>
      <c r="B368" s="1" t="n"/>
      <c r="C368" s="18">
        <f>IFERROR(
(
SUMIF('Q1'!$AM$14:$AM$613,B368,'Q1'!$T$14:$T$613)
+SUMIF('Q2'!$AM$14:$AM$613,B368,'Q2'!$T$14:$T$613)
)
/A368,"")</f>
        <v/>
      </c>
      <c r="R368">
        <f>'Q1'!AM378</f>
        <v/>
      </c>
    </row>
    <row r="369">
      <c r="A369" s="1">
        <f>IF(B369="","",COUNTIF($R$4:$R$4803,B369))</f>
        <v/>
      </c>
      <c r="B369" s="1" t="n"/>
      <c r="C369" s="18">
        <f>IFERROR(
(
SUMIF('Q1'!$AM$14:$AM$613,B369,'Q1'!$T$14:$T$613)
+SUMIF('Q2'!$AM$14:$AM$613,B369,'Q2'!$T$14:$T$613)
)
/A369,"")</f>
        <v/>
      </c>
      <c r="R369">
        <f>'Q1'!AM379</f>
        <v/>
      </c>
    </row>
    <row r="370">
      <c r="A370" s="1">
        <f>IF(B370="","",COUNTIF($R$4:$R$4803,B370))</f>
        <v/>
      </c>
      <c r="B370" s="1" t="n"/>
      <c r="C370" s="18">
        <f>IFERROR(
(
SUMIF('Q1'!$AM$14:$AM$613,B370,'Q1'!$T$14:$T$613)
+SUMIF('Q2'!$AM$14:$AM$613,B370,'Q2'!$T$14:$T$613)
)
/A370,"")</f>
        <v/>
      </c>
      <c r="R370">
        <f>'Q1'!AM380</f>
        <v/>
      </c>
    </row>
    <row r="371">
      <c r="A371" s="1">
        <f>IF(B371="","",COUNTIF($R$4:$R$4803,B371))</f>
        <v/>
      </c>
      <c r="B371" s="1" t="n"/>
      <c r="C371" s="18">
        <f>IFERROR(
(
SUMIF('Q1'!$AM$14:$AM$613,B371,'Q1'!$T$14:$T$613)
+SUMIF('Q2'!$AM$14:$AM$613,B371,'Q2'!$T$14:$T$613)
)
/A371,"")</f>
        <v/>
      </c>
      <c r="R371">
        <f>'Q1'!AM381</f>
        <v/>
      </c>
    </row>
    <row r="372">
      <c r="A372" s="1">
        <f>IF(B372="","",COUNTIF($R$4:$R$4803,B372))</f>
        <v/>
      </c>
      <c r="B372" s="1" t="n"/>
      <c r="C372" s="18">
        <f>IFERROR(
(
SUMIF('Q1'!$AM$14:$AM$613,B372,'Q1'!$T$14:$T$613)
+SUMIF('Q2'!$AM$14:$AM$613,B372,'Q2'!$T$14:$T$613)
)
/A372,"")</f>
        <v/>
      </c>
      <c r="R372">
        <f>'Q1'!AM382</f>
        <v/>
      </c>
    </row>
    <row r="373">
      <c r="A373" s="1">
        <f>IF(B373="","",COUNTIF($R$4:$R$4803,B373))</f>
        <v/>
      </c>
      <c r="B373" s="1" t="n"/>
      <c r="C373" s="18">
        <f>IFERROR(
(
SUMIF('Q1'!$AM$14:$AM$613,B373,'Q1'!$T$14:$T$613)
+SUMIF('Q2'!$AM$14:$AM$613,B373,'Q2'!$T$14:$T$613)
)
/A373,"")</f>
        <v/>
      </c>
      <c r="R373">
        <f>'Q1'!AM383</f>
        <v/>
      </c>
    </row>
    <row r="374">
      <c r="A374" s="1">
        <f>IF(B374="","",COUNTIF($R$4:$R$4803,B374))</f>
        <v/>
      </c>
      <c r="B374" s="1" t="n"/>
      <c r="C374" s="18">
        <f>IFERROR(
(
SUMIF('Q1'!$AM$14:$AM$613,B374,'Q1'!$T$14:$T$613)
+SUMIF('Q2'!$AM$14:$AM$613,B374,'Q2'!$T$14:$T$613)
)
/A374,"")</f>
        <v/>
      </c>
      <c r="R374">
        <f>'Q1'!AM384</f>
        <v/>
      </c>
    </row>
    <row r="375">
      <c r="A375" s="1">
        <f>IF(B375="","",COUNTIF($R$4:$R$4803,B375))</f>
        <v/>
      </c>
      <c r="B375" s="1" t="n"/>
      <c r="C375" s="18">
        <f>IFERROR(
(
SUMIF('Q1'!$AM$14:$AM$613,B375,'Q1'!$T$14:$T$613)
+SUMIF('Q2'!$AM$14:$AM$613,B375,'Q2'!$T$14:$T$613)
)
/A375,"")</f>
        <v/>
      </c>
      <c r="R375">
        <f>'Q1'!AM385</f>
        <v/>
      </c>
    </row>
    <row r="376">
      <c r="A376" s="1">
        <f>IF(B376="","",COUNTIF($R$4:$R$4803,B376))</f>
        <v/>
      </c>
      <c r="B376" s="1" t="n"/>
      <c r="C376" s="18">
        <f>IFERROR(
(
SUMIF('Q1'!$AM$14:$AM$613,B376,'Q1'!$T$14:$T$613)
+SUMIF('Q2'!$AM$14:$AM$613,B376,'Q2'!$T$14:$T$613)
)
/A376,"")</f>
        <v/>
      </c>
      <c r="R376">
        <f>'Q1'!AM386</f>
        <v/>
      </c>
    </row>
    <row r="377">
      <c r="A377" s="1">
        <f>IF(B377="","",COUNTIF($R$4:$R$4803,B377))</f>
        <v/>
      </c>
      <c r="B377" s="1" t="n"/>
      <c r="C377" s="18">
        <f>IFERROR(
(
SUMIF('Q1'!$AM$14:$AM$613,B377,'Q1'!$T$14:$T$613)
+SUMIF('Q2'!$AM$14:$AM$613,B377,'Q2'!$T$14:$T$613)
)
/A377,"")</f>
        <v/>
      </c>
      <c r="R377">
        <f>'Q1'!AM387</f>
        <v/>
      </c>
    </row>
    <row r="378">
      <c r="A378" s="1">
        <f>IF(B378="","",COUNTIF($R$4:$R$4803,B378))</f>
        <v/>
      </c>
      <c r="B378" s="1" t="n"/>
      <c r="C378" s="18">
        <f>IFERROR(
(
SUMIF('Q1'!$AM$14:$AM$613,B378,'Q1'!$T$14:$T$613)
+SUMIF('Q2'!$AM$14:$AM$613,B378,'Q2'!$T$14:$T$613)
)
/A378,"")</f>
        <v/>
      </c>
      <c r="R378">
        <f>'Q1'!AM388</f>
        <v/>
      </c>
    </row>
    <row r="379">
      <c r="A379" s="1">
        <f>IF(B379="","",COUNTIF($R$4:$R$4803,B379))</f>
        <v/>
      </c>
      <c r="B379" s="1" t="n"/>
      <c r="C379" s="18">
        <f>IFERROR(
(
SUMIF('Q1'!$AM$14:$AM$613,B379,'Q1'!$T$14:$T$613)
+SUMIF('Q2'!$AM$14:$AM$613,B379,'Q2'!$T$14:$T$613)
)
/A379,"")</f>
        <v/>
      </c>
      <c r="R379">
        <f>'Q1'!AM389</f>
        <v/>
      </c>
    </row>
    <row r="380">
      <c r="A380" s="1">
        <f>IF(B380="","",COUNTIF($R$4:$R$4803,B380))</f>
        <v/>
      </c>
      <c r="B380" s="1" t="n"/>
      <c r="C380" s="18">
        <f>IFERROR(
(
SUMIF('Q1'!$AM$14:$AM$613,B380,'Q1'!$T$14:$T$613)
+SUMIF('Q2'!$AM$14:$AM$613,B380,'Q2'!$T$14:$T$613)
)
/A380,"")</f>
        <v/>
      </c>
      <c r="R380">
        <f>'Q1'!AM390</f>
        <v/>
      </c>
    </row>
    <row r="381">
      <c r="A381" s="1">
        <f>IF(B381="","",COUNTIF($R$4:$R$4803,B381))</f>
        <v/>
      </c>
      <c r="B381" s="1" t="n"/>
      <c r="C381" s="18">
        <f>IFERROR(
(
SUMIF('Q1'!$AM$14:$AM$613,B381,'Q1'!$T$14:$T$613)
+SUMIF('Q2'!$AM$14:$AM$613,B381,'Q2'!$T$14:$T$613)
)
/A381,"")</f>
        <v/>
      </c>
      <c r="R381">
        <f>'Q1'!AM391</f>
        <v/>
      </c>
    </row>
    <row r="382">
      <c r="A382" s="1">
        <f>IF(B382="","",COUNTIF($R$4:$R$4803,B382))</f>
        <v/>
      </c>
      <c r="B382" s="1" t="n"/>
      <c r="C382" s="18">
        <f>IFERROR(
(
SUMIF('Q1'!$AM$14:$AM$613,B382,'Q1'!$T$14:$T$613)
+SUMIF('Q2'!$AM$14:$AM$613,B382,'Q2'!$T$14:$T$613)
)
/A382,"")</f>
        <v/>
      </c>
      <c r="R382">
        <f>'Q1'!AM392</f>
        <v/>
      </c>
    </row>
    <row r="383">
      <c r="A383" s="1">
        <f>IF(B383="","",COUNTIF($R$4:$R$4803,B383))</f>
        <v/>
      </c>
      <c r="B383" s="1" t="n"/>
      <c r="C383" s="18">
        <f>IFERROR(
(
SUMIF('Q1'!$AM$14:$AM$613,B383,'Q1'!$T$14:$T$613)
+SUMIF('Q2'!$AM$14:$AM$613,B383,'Q2'!$T$14:$T$613)
)
/A383,"")</f>
        <v/>
      </c>
      <c r="R383">
        <f>'Q1'!AM393</f>
        <v/>
      </c>
    </row>
    <row r="384">
      <c r="A384" s="1">
        <f>IF(B384="","",COUNTIF($R$4:$R$4803,B384))</f>
        <v/>
      </c>
      <c r="B384" s="1" t="n"/>
      <c r="C384" s="18">
        <f>IFERROR(
(
SUMIF('Q1'!$AM$14:$AM$613,B384,'Q1'!$T$14:$T$613)
+SUMIF('Q2'!$AM$14:$AM$613,B384,'Q2'!$T$14:$T$613)
)
/A384,"")</f>
        <v/>
      </c>
      <c r="R384">
        <f>'Q1'!AM394</f>
        <v/>
      </c>
    </row>
    <row r="385">
      <c r="A385" s="1">
        <f>IF(B385="","",COUNTIF($R$4:$R$4803,B385))</f>
        <v/>
      </c>
      <c r="B385" s="1" t="n"/>
      <c r="C385" s="18">
        <f>IFERROR(
(
SUMIF('Q1'!$AM$14:$AM$613,B385,'Q1'!$T$14:$T$613)
+SUMIF('Q2'!$AM$14:$AM$613,B385,'Q2'!$T$14:$T$613)
)
/A385,"")</f>
        <v/>
      </c>
      <c r="R385">
        <f>'Q1'!AM395</f>
        <v/>
      </c>
    </row>
    <row r="386">
      <c r="A386" s="1">
        <f>IF(B386="","",COUNTIF($R$4:$R$4803,B386))</f>
        <v/>
      </c>
      <c r="B386" s="1" t="n"/>
      <c r="C386" s="18">
        <f>IFERROR(
(
SUMIF('Q1'!$AM$14:$AM$613,B386,'Q1'!$T$14:$T$613)
+SUMIF('Q2'!$AM$14:$AM$613,B386,'Q2'!$T$14:$T$613)
)
/A386,"")</f>
        <v/>
      </c>
      <c r="R386">
        <f>'Q1'!AM396</f>
        <v/>
      </c>
    </row>
    <row r="387">
      <c r="A387" s="1">
        <f>IF(B387="","",COUNTIF($R$4:$R$4803,B387))</f>
        <v/>
      </c>
      <c r="B387" s="1" t="n"/>
      <c r="C387" s="18">
        <f>IFERROR(
(
SUMIF('Q1'!$AM$14:$AM$613,B387,'Q1'!$T$14:$T$613)
+SUMIF('Q2'!$AM$14:$AM$613,B387,'Q2'!$T$14:$T$613)
)
/A387,"")</f>
        <v/>
      </c>
      <c r="R387">
        <f>'Q1'!AM397</f>
        <v/>
      </c>
    </row>
    <row r="388">
      <c r="A388" s="1">
        <f>IF(B388="","",COUNTIF($R$4:$R$4803,B388))</f>
        <v/>
      </c>
      <c r="B388" s="1" t="n"/>
      <c r="C388" s="18">
        <f>IFERROR(
(
SUMIF('Q1'!$AM$14:$AM$613,B388,'Q1'!$T$14:$T$613)
+SUMIF('Q2'!$AM$14:$AM$613,B388,'Q2'!$T$14:$T$613)
)
/A388,"")</f>
        <v/>
      </c>
      <c r="R388">
        <f>'Q1'!AM398</f>
        <v/>
      </c>
    </row>
    <row r="389">
      <c r="A389" s="1">
        <f>IF(B389="","",COUNTIF($R$4:$R$4803,B389))</f>
        <v/>
      </c>
      <c r="B389" s="1" t="n"/>
      <c r="C389" s="18">
        <f>IFERROR(
(
SUMIF('Q1'!$AM$14:$AM$613,B389,'Q1'!$T$14:$T$613)
+SUMIF('Q2'!$AM$14:$AM$613,B389,'Q2'!$T$14:$T$613)
)
/A389,"")</f>
        <v/>
      </c>
      <c r="R389">
        <f>'Q1'!AM399</f>
        <v/>
      </c>
    </row>
    <row r="390">
      <c r="A390" s="1">
        <f>IF(B390="","",COUNTIF($R$4:$R$4803,B390))</f>
        <v/>
      </c>
      <c r="B390" s="1" t="n"/>
      <c r="C390" s="18">
        <f>IFERROR(
(
SUMIF('Q1'!$AM$14:$AM$613,B390,'Q1'!$T$14:$T$613)
+SUMIF('Q2'!$AM$14:$AM$613,B390,'Q2'!$T$14:$T$613)
)
/A390,"")</f>
        <v/>
      </c>
      <c r="R390">
        <f>'Q1'!AM400</f>
        <v/>
      </c>
    </row>
    <row r="391">
      <c r="A391" s="1">
        <f>IF(B391="","",COUNTIF($R$4:$R$4803,B391))</f>
        <v/>
      </c>
      <c r="B391" s="1" t="n"/>
      <c r="C391" s="18">
        <f>IFERROR(
(
SUMIF('Q1'!$AM$14:$AM$613,B391,'Q1'!$T$14:$T$613)
+SUMIF('Q2'!$AM$14:$AM$613,B391,'Q2'!$T$14:$T$613)
)
/A391,"")</f>
        <v/>
      </c>
      <c r="R391">
        <f>'Q1'!AM401</f>
        <v/>
      </c>
    </row>
    <row r="392">
      <c r="A392" s="1">
        <f>IF(B392="","",COUNTIF($R$4:$R$4803,B392))</f>
        <v/>
      </c>
      <c r="B392" s="1" t="n"/>
      <c r="C392" s="18">
        <f>IFERROR(
(
SUMIF('Q1'!$AM$14:$AM$613,B392,'Q1'!$T$14:$T$613)
+SUMIF('Q2'!$AM$14:$AM$613,B392,'Q2'!$T$14:$T$613)
)
/A392,"")</f>
        <v/>
      </c>
      <c r="R392">
        <f>'Q1'!AM402</f>
        <v/>
      </c>
    </row>
    <row r="393">
      <c r="A393" s="1">
        <f>IF(B393="","",COUNTIF($R$4:$R$4803,B393))</f>
        <v/>
      </c>
      <c r="B393" s="1" t="n"/>
      <c r="C393" s="18">
        <f>IFERROR(
(
SUMIF('Q1'!$AM$14:$AM$613,B393,'Q1'!$T$14:$T$613)
+SUMIF('Q2'!$AM$14:$AM$613,B393,'Q2'!$T$14:$T$613)
)
/A393,"")</f>
        <v/>
      </c>
      <c r="R393">
        <f>'Q1'!AM403</f>
        <v/>
      </c>
    </row>
    <row r="394">
      <c r="A394" s="1">
        <f>IF(B394="","",COUNTIF($R$4:$R$4803,B394))</f>
        <v/>
      </c>
      <c r="B394" s="1" t="n"/>
      <c r="C394" s="18">
        <f>IFERROR(
(
SUMIF('Q1'!$AM$14:$AM$613,B394,'Q1'!$T$14:$T$613)
+SUMIF('Q2'!$AM$14:$AM$613,B394,'Q2'!$T$14:$T$613)
)
/A394,"")</f>
        <v/>
      </c>
      <c r="R394">
        <f>'Q1'!AM404</f>
        <v/>
      </c>
    </row>
    <row r="395">
      <c r="A395" s="1">
        <f>IF(B395="","",COUNTIF($R$4:$R$4803,B395))</f>
        <v/>
      </c>
      <c r="B395" s="1" t="n"/>
      <c r="C395" s="18">
        <f>IFERROR(
(
SUMIF('Q1'!$AM$14:$AM$613,B395,'Q1'!$T$14:$T$613)
+SUMIF('Q2'!$AM$14:$AM$613,B395,'Q2'!$T$14:$T$613)
)
/A395,"")</f>
        <v/>
      </c>
      <c r="R395">
        <f>'Q1'!AM405</f>
        <v/>
      </c>
    </row>
    <row r="396">
      <c r="A396" s="1">
        <f>IF(B396="","",COUNTIF($R$4:$R$4803,B396))</f>
        <v/>
      </c>
      <c r="B396" s="1" t="n"/>
      <c r="C396" s="18">
        <f>IFERROR(
(
SUMIF('Q1'!$AM$14:$AM$613,B396,'Q1'!$T$14:$T$613)
+SUMIF('Q2'!$AM$14:$AM$613,B396,'Q2'!$T$14:$T$613)
)
/A396,"")</f>
        <v/>
      </c>
      <c r="R396">
        <f>'Q1'!AM406</f>
        <v/>
      </c>
    </row>
    <row r="397">
      <c r="A397" s="1">
        <f>IF(B397="","",COUNTIF($R$4:$R$4803,B397))</f>
        <v/>
      </c>
      <c r="B397" s="1" t="n"/>
      <c r="C397" s="18">
        <f>IFERROR(
(
SUMIF('Q1'!$AM$14:$AM$613,B397,'Q1'!$T$14:$T$613)
+SUMIF('Q2'!$AM$14:$AM$613,B397,'Q2'!$T$14:$T$613)
)
/A397,"")</f>
        <v/>
      </c>
      <c r="R397">
        <f>'Q1'!AM407</f>
        <v/>
      </c>
    </row>
    <row r="398">
      <c r="A398" s="1">
        <f>IF(B398="","",COUNTIF($R$4:$R$4803,B398))</f>
        <v/>
      </c>
      <c r="B398" s="1" t="n"/>
      <c r="C398" s="18">
        <f>IFERROR(
(
SUMIF('Q1'!$AM$14:$AM$613,B398,'Q1'!$T$14:$T$613)
+SUMIF('Q2'!$AM$14:$AM$613,B398,'Q2'!$T$14:$T$613)
)
/A398,"")</f>
        <v/>
      </c>
      <c r="R398">
        <f>'Q1'!AM408</f>
        <v/>
      </c>
    </row>
    <row r="399">
      <c r="A399" s="1">
        <f>IF(B399="","",COUNTIF($R$4:$R$4803,B399))</f>
        <v/>
      </c>
      <c r="B399" s="1" t="n"/>
      <c r="C399" s="18">
        <f>IFERROR(
(
SUMIF('Q1'!$AM$14:$AM$613,B399,'Q1'!$T$14:$T$613)
+SUMIF('Q2'!$AM$14:$AM$613,B399,'Q2'!$T$14:$T$613)
)
/A399,"")</f>
        <v/>
      </c>
      <c r="R399">
        <f>'Q1'!AM409</f>
        <v/>
      </c>
    </row>
    <row r="400">
      <c r="A400" s="1">
        <f>IF(B400="","",COUNTIF($R$4:$R$4803,B400))</f>
        <v/>
      </c>
      <c r="B400" s="1" t="n"/>
      <c r="C400" s="18">
        <f>IFERROR(
(
SUMIF('Q1'!$AM$14:$AM$613,B400,'Q1'!$T$14:$T$613)
+SUMIF('Q2'!$AM$14:$AM$613,B400,'Q2'!$T$14:$T$613)
)
/A400,"")</f>
        <v/>
      </c>
      <c r="R400">
        <f>'Q1'!AM410</f>
        <v/>
      </c>
    </row>
    <row r="401">
      <c r="A401" s="1">
        <f>IF(B401="","",COUNTIF($R$4:$R$4803,B401))</f>
        <v/>
      </c>
      <c r="B401" s="1" t="n"/>
      <c r="C401" s="18">
        <f>IFERROR(
(
SUMIF('Q1'!$AM$14:$AM$613,B401,'Q1'!$T$14:$T$613)
+SUMIF('Q2'!$AM$14:$AM$613,B401,'Q2'!$T$14:$T$613)
)
/A401,"")</f>
        <v/>
      </c>
      <c r="R401">
        <f>'Q1'!AM411</f>
        <v/>
      </c>
    </row>
    <row r="402">
      <c r="A402" s="1">
        <f>IF(B402="","",COUNTIF($R$4:$R$4803,B402))</f>
        <v/>
      </c>
      <c r="B402" s="1" t="n"/>
      <c r="C402" s="18">
        <f>IFERROR(
(
SUMIF('Q1'!$AM$14:$AM$613,B402,'Q1'!$T$14:$T$613)
+SUMIF('Q2'!$AM$14:$AM$613,B402,'Q2'!$T$14:$T$613)
)
/A402,"")</f>
        <v/>
      </c>
      <c r="R402">
        <f>'Q1'!AM412</f>
        <v/>
      </c>
    </row>
    <row r="403">
      <c r="A403" s="1">
        <f>IF(B403="","",COUNTIF($R$4:$R$4803,B403))</f>
        <v/>
      </c>
      <c r="B403" s="1" t="n"/>
      <c r="C403" s="18">
        <f>IFERROR(
(
SUMIF('Q1'!$AM$14:$AM$613,B403,'Q1'!$T$14:$T$613)
+SUMIF('Q2'!$AM$14:$AM$613,B403,'Q2'!$T$14:$T$613)
)
/A403,"")</f>
        <v/>
      </c>
      <c r="R403">
        <f>'Q1'!AM413</f>
        <v/>
      </c>
    </row>
    <row r="404">
      <c r="A404" s="1">
        <f>IF(B404="","",COUNTIF($R$4:$R$4803,B404))</f>
        <v/>
      </c>
      <c r="B404" s="1" t="n"/>
      <c r="C404" s="18">
        <f>IFERROR(
(
SUMIF('Q1'!$AM$14:$AM$613,B404,'Q1'!$T$14:$T$613)
+SUMIF('Q2'!$AM$14:$AM$613,B404,'Q2'!$T$14:$T$613)
)
/A404,"")</f>
        <v/>
      </c>
      <c r="R404">
        <f>'Q1'!AM414</f>
        <v/>
      </c>
    </row>
    <row r="405">
      <c r="A405" s="1">
        <f>IF(B405="","",COUNTIF($R$4:$R$4803,B405))</f>
        <v/>
      </c>
      <c r="B405" s="1" t="n"/>
      <c r="C405" s="18">
        <f>IFERROR(
(
SUMIF('Q1'!$AM$14:$AM$613,B405,'Q1'!$T$14:$T$613)
+SUMIF('Q2'!$AM$14:$AM$613,B405,'Q2'!$T$14:$T$613)
)
/A405,"")</f>
        <v/>
      </c>
      <c r="R405">
        <f>'Q1'!AM415</f>
        <v/>
      </c>
    </row>
    <row r="406">
      <c r="A406" s="1">
        <f>IF(B406="","",COUNTIF($R$4:$R$4803,B406))</f>
        <v/>
      </c>
      <c r="B406" s="1" t="n"/>
      <c r="C406" s="18">
        <f>IFERROR(
(
SUMIF('Q1'!$AM$14:$AM$613,B406,'Q1'!$T$14:$T$613)
+SUMIF('Q2'!$AM$14:$AM$613,B406,'Q2'!$T$14:$T$613)
)
/A406,"")</f>
        <v/>
      </c>
      <c r="R406">
        <f>'Q1'!AM416</f>
        <v/>
      </c>
    </row>
    <row r="407">
      <c r="A407" s="1">
        <f>IF(B407="","",COUNTIF($R$4:$R$4803,B407))</f>
        <v/>
      </c>
      <c r="B407" s="1" t="n"/>
      <c r="C407" s="18">
        <f>IFERROR(
(
SUMIF('Q1'!$AM$14:$AM$613,B407,'Q1'!$T$14:$T$613)
+SUMIF('Q2'!$AM$14:$AM$613,B407,'Q2'!$T$14:$T$613)
)
/A407,"")</f>
        <v/>
      </c>
      <c r="R407">
        <f>'Q1'!AM417</f>
        <v/>
      </c>
    </row>
    <row r="408">
      <c r="A408" s="1">
        <f>IF(B408="","",COUNTIF($R$4:$R$4803,B408))</f>
        <v/>
      </c>
      <c r="B408" s="1" t="n"/>
      <c r="C408" s="18">
        <f>IFERROR(
(
SUMIF('Q1'!$AM$14:$AM$613,B408,'Q1'!$T$14:$T$613)
+SUMIF('Q2'!$AM$14:$AM$613,B408,'Q2'!$T$14:$T$613)
)
/A408,"")</f>
        <v/>
      </c>
      <c r="R408">
        <f>'Q1'!AM418</f>
        <v/>
      </c>
    </row>
    <row r="409">
      <c r="A409" s="1">
        <f>IF(B409="","",COUNTIF($R$4:$R$4803,B409))</f>
        <v/>
      </c>
      <c r="B409" s="1" t="n"/>
      <c r="C409" s="18">
        <f>IFERROR(
(
SUMIF('Q1'!$AM$14:$AM$613,B409,'Q1'!$T$14:$T$613)
+SUMIF('Q2'!$AM$14:$AM$613,B409,'Q2'!$T$14:$T$613)
)
/A409,"")</f>
        <v/>
      </c>
      <c r="R409">
        <f>'Q1'!AM419</f>
        <v/>
      </c>
    </row>
    <row r="410">
      <c r="A410" s="1">
        <f>IF(B410="","",COUNTIF($R$4:$R$4803,B410))</f>
        <v/>
      </c>
      <c r="B410" s="1" t="n"/>
      <c r="C410" s="18">
        <f>IFERROR(
(
SUMIF('Q1'!$AM$14:$AM$613,B410,'Q1'!$T$14:$T$613)
+SUMIF('Q2'!$AM$14:$AM$613,B410,'Q2'!$T$14:$T$613)
)
/A410,"")</f>
        <v/>
      </c>
      <c r="R410">
        <f>'Q1'!AM420</f>
        <v/>
      </c>
    </row>
    <row r="411">
      <c r="A411" s="1">
        <f>IF(B411="","",COUNTIF($R$4:$R$4803,B411))</f>
        <v/>
      </c>
      <c r="B411" s="1" t="n"/>
      <c r="C411" s="18">
        <f>IFERROR(
(
SUMIF('Q1'!$AM$14:$AM$613,B411,'Q1'!$T$14:$T$613)
+SUMIF('Q2'!$AM$14:$AM$613,B411,'Q2'!$T$14:$T$613)
)
/A411,"")</f>
        <v/>
      </c>
      <c r="R411">
        <f>'Q1'!AM421</f>
        <v/>
      </c>
    </row>
    <row r="412">
      <c r="A412" s="1">
        <f>IF(B412="","",COUNTIF($R$4:$R$4803,B412))</f>
        <v/>
      </c>
      <c r="B412" s="1" t="n"/>
      <c r="C412" s="18">
        <f>IFERROR(
(
SUMIF('Q1'!$AM$14:$AM$613,B412,'Q1'!$T$14:$T$613)
+SUMIF('Q2'!$AM$14:$AM$613,B412,'Q2'!$T$14:$T$613)
)
/A412,"")</f>
        <v/>
      </c>
      <c r="R412">
        <f>'Q1'!AM422</f>
        <v/>
      </c>
    </row>
    <row r="413">
      <c r="A413" s="1">
        <f>IF(B413="","",COUNTIF($R$4:$R$4803,B413))</f>
        <v/>
      </c>
      <c r="B413" s="1" t="n"/>
      <c r="C413" s="18">
        <f>IFERROR(
(
SUMIF('Q1'!$AM$14:$AM$613,B413,'Q1'!$T$14:$T$613)
+SUMIF('Q2'!$AM$14:$AM$613,B413,'Q2'!$T$14:$T$613)
)
/A413,"")</f>
        <v/>
      </c>
      <c r="R413">
        <f>'Q1'!AM423</f>
        <v/>
      </c>
    </row>
    <row r="414">
      <c r="A414" s="1">
        <f>IF(B414="","",COUNTIF($R$4:$R$4803,B414))</f>
        <v/>
      </c>
      <c r="B414" s="1" t="n"/>
      <c r="C414" s="18">
        <f>IFERROR(
(
SUMIF('Q1'!$AM$14:$AM$613,B414,'Q1'!$T$14:$T$613)
+SUMIF('Q2'!$AM$14:$AM$613,B414,'Q2'!$T$14:$T$613)
)
/A414,"")</f>
        <v/>
      </c>
      <c r="R414">
        <f>'Q1'!AM424</f>
        <v/>
      </c>
    </row>
    <row r="415">
      <c r="A415" s="1">
        <f>IF(B415="","",COUNTIF($R$4:$R$4803,B415))</f>
        <v/>
      </c>
      <c r="B415" s="1" t="n"/>
      <c r="C415" s="18">
        <f>IFERROR(
(
SUMIF('Q1'!$AM$14:$AM$613,B415,'Q1'!$T$14:$T$613)
+SUMIF('Q2'!$AM$14:$AM$613,B415,'Q2'!$T$14:$T$613)
)
/A415,"")</f>
        <v/>
      </c>
      <c r="R415">
        <f>'Q1'!AM425</f>
        <v/>
      </c>
    </row>
    <row r="416">
      <c r="A416" s="1">
        <f>IF(B416="","",COUNTIF($R$4:$R$4803,B416))</f>
        <v/>
      </c>
      <c r="B416" s="1" t="n"/>
      <c r="C416" s="18">
        <f>IFERROR(
(
SUMIF('Q1'!$AM$14:$AM$613,B416,'Q1'!$T$14:$T$613)
+SUMIF('Q2'!$AM$14:$AM$613,B416,'Q2'!$T$14:$T$613)
)
/A416,"")</f>
        <v/>
      </c>
      <c r="R416">
        <f>'Q1'!AM426</f>
        <v/>
      </c>
    </row>
    <row r="417">
      <c r="A417" s="1">
        <f>IF(B417="","",COUNTIF($R$4:$R$4803,B417))</f>
        <v/>
      </c>
      <c r="B417" s="1" t="n"/>
      <c r="C417" s="18">
        <f>IFERROR(
(
SUMIF('Q1'!$AM$14:$AM$613,B417,'Q1'!$T$14:$T$613)
+SUMIF('Q2'!$AM$14:$AM$613,B417,'Q2'!$T$14:$T$613)
)
/A417,"")</f>
        <v/>
      </c>
      <c r="R417">
        <f>'Q1'!AM427</f>
        <v/>
      </c>
    </row>
    <row r="418">
      <c r="A418" s="1">
        <f>IF(B418="","",COUNTIF($R$4:$R$4803,B418))</f>
        <v/>
      </c>
      <c r="B418" s="1" t="n"/>
      <c r="C418" s="18">
        <f>IFERROR(
(
SUMIF('Q1'!$AM$14:$AM$613,B418,'Q1'!$T$14:$T$613)
+SUMIF('Q2'!$AM$14:$AM$613,B418,'Q2'!$T$14:$T$613)
)
/A418,"")</f>
        <v/>
      </c>
      <c r="R418">
        <f>'Q1'!AM428</f>
        <v/>
      </c>
    </row>
    <row r="419">
      <c r="A419" s="1">
        <f>IF(B419="","",COUNTIF($R$4:$R$4803,B419))</f>
        <v/>
      </c>
      <c r="B419" s="1" t="n"/>
      <c r="C419" s="18">
        <f>IFERROR(
(
SUMIF('Q1'!$AM$14:$AM$613,B419,'Q1'!$T$14:$T$613)
+SUMIF('Q2'!$AM$14:$AM$613,B419,'Q2'!$T$14:$T$613)
)
/A419,"")</f>
        <v/>
      </c>
      <c r="R419">
        <f>'Q1'!AM429</f>
        <v/>
      </c>
    </row>
    <row r="420">
      <c r="A420" s="1">
        <f>IF(B420="","",COUNTIF($R$4:$R$4803,B420))</f>
        <v/>
      </c>
      <c r="B420" s="1" t="n"/>
      <c r="C420" s="18">
        <f>IFERROR(
(
SUMIF('Q1'!$AM$14:$AM$613,B420,'Q1'!$T$14:$T$613)
+SUMIF('Q2'!$AM$14:$AM$613,B420,'Q2'!$T$14:$T$613)
)
/A420,"")</f>
        <v/>
      </c>
      <c r="R420">
        <f>'Q1'!AM430</f>
        <v/>
      </c>
    </row>
    <row r="421">
      <c r="A421" s="1">
        <f>IF(B421="","",COUNTIF($R$4:$R$4803,B421))</f>
        <v/>
      </c>
      <c r="B421" s="1" t="n"/>
      <c r="C421" s="18">
        <f>IFERROR(
(
SUMIF('Q1'!$AM$14:$AM$613,B421,'Q1'!$T$14:$T$613)
+SUMIF('Q2'!$AM$14:$AM$613,B421,'Q2'!$T$14:$T$613)
)
/A421,"")</f>
        <v/>
      </c>
      <c r="R421">
        <f>'Q1'!AM431</f>
        <v/>
      </c>
    </row>
    <row r="422">
      <c r="A422" s="1">
        <f>IF(B422="","",COUNTIF($R$4:$R$4803,B422))</f>
        <v/>
      </c>
      <c r="B422" s="1" t="n"/>
      <c r="C422" s="18">
        <f>IFERROR(
(
SUMIF('Q1'!$AM$14:$AM$613,B422,'Q1'!$T$14:$T$613)
+SUMIF('Q2'!$AM$14:$AM$613,B422,'Q2'!$T$14:$T$613)
)
/A422,"")</f>
        <v/>
      </c>
      <c r="R422">
        <f>'Q1'!AM432</f>
        <v/>
      </c>
    </row>
    <row r="423">
      <c r="A423" s="1">
        <f>IF(B423="","",COUNTIF($R$4:$R$4803,B423))</f>
        <v/>
      </c>
      <c r="B423" s="1" t="n"/>
      <c r="C423" s="18">
        <f>IFERROR(
(
SUMIF('Q1'!$AM$14:$AM$613,B423,'Q1'!$T$14:$T$613)
+SUMIF('Q2'!$AM$14:$AM$613,B423,'Q2'!$T$14:$T$613)
)
/A423,"")</f>
        <v/>
      </c>
      <c r="R423">
        <f>'Q1'!AM433</f>
        <v/>
      </c>
    </row>
    <row r="424">
      <c r="A424" s="1">
        <f>IF(B424="","",COUNTIF($R$4:$R$4803,B424))</f>
        <v/>
      </c>
      <c r="B424" s="1" t="n"/>
      <c r="C424" s="18">
        <f>IFERROR(
(
SUMIF('Q1'!$AM$14:$AM$613,B424,'Q1'!$T$14:$T$613)
+SUMIF('Q2'!$AM$14:$AM$613,B424,'Q2'!$T$14:$T$613)
)
/A424,"")</f>
        <v/>
      </c>
      <c r="R424">
        <f>'Q1'!AM434</f>
        <v/>
      </c>
    </row>
    <row r="425">
      <c r="A425" s="1">
        <f>IF(B425="","",COUNTIF($R$4:$R$4803,B425))</f>
        <v/>
      </c>
      <c r="B425" s="1" t="n"/>
      <c r="C425" s="18">
        <f>IFERROR(
(
SUMIF('Q1'!$AM$14:$AM$613,B425,'Q1'!$T$14:$T$613)
+SUMIF('Q2'!$AM$14:$AM$613,B425,'Q2'!$T$14:$T$613)
)
/A425,"")</f>
        <v/>
      </c>
      <c r="R425">
        <f>'Q1'!AM435</f>
        <v/>
      </c>
    </row>
    <row r="426">
      <c r="A426" s="1">
        <f>IF(B426="","",COUNTIF($R$4:$R$4803,B426))</f>
        <v/>
      </c>
      <c r="B426" s="1" t="n"/>
      <c r="C426" s="18">
        <f>IFERROR(
(
SUMIF('Q1'!$AM$14:$AM$613,B426,'Q1'!$T$14:$T$613)
+SUMIF('Q2'!$AM$14:$AM$613,B426,'Q2'!$T$14:$T$613)
)
/A426,"")</f>
        <v/>
      </c>
      <c r="R426">
        <f>'Q1'!AM436</f>
        <v/>
      </c>
    </row>
    <row r="427">
      <c r="A427" s="1">
        <f>IF(B427="","",COUNTIF($R$4:$R$4803,B427))</f>
        <v/>
      </c>
      <c r="B427" s="1" t="n"/>
      <c r="C427" s="18">
        <f>IFERROR(
(
SUMIF('Q1'!$AM$14:$AM$613,B427,'Q1'!$T$14:$T$613)
+SUMIF('Q2'!$AM$14:$AM$613,B427,'Q2'!$T$14:$T$613)
)
/A427,"")</f>
        <v/>
      </c>
      <c r="R427">
        <f>'Q1'!AM437</f>
        <v/>
      </c>
    </row>
    <row r="428">
      <c r="A428" s="1">
        <f>IF(B428="","",COUNTIF($R$4:$R$4803,B428))</f>
        <v/>
      </c>
      <c r="B428" s="1" t="n"/>
      <c r="C428" s="18">
        <f>IFERROR(
(
SUMIF('Q1'!$AM$14:$AM$613,B428,'Q1'!$T$14:$T$613)
+SUMIF('Q2'!$AM$14:$AM$613,B428,'Q2'!$T$14:$T$613)
)
/A428,"")</f>
        <v/>
      </c>
      <c r="R428">
        <f>'Q1'!AM438</f>
        <v/>
      </c>
    </row>
    <row r="429">
      <c r="A429" s="1">
        <f>IF(B429="","",COUNTIF($R$4:$R$4803,B429))</f>
        <v/>
      </c>
      <c r="B429" s="1" t="n"/>
      <c r="C429" s="18">
        <f>IFERROR(
(
SUMIF('Q1'!$AM$14:$AM$613,B429,'Q1'!$T$14:$T$613)
+SUMIF('Q2'!$AM$14:$AM$613,B429,'Q2'!$T$14:$T$613)
)
/A429,"")</f>
        <v/>
      </c>
      <c r="R429">
        <f>'Q1'!AM439</f>
        <v/>
      </c>
    </row>
    <row r="430">
      <c r="A430" s="1">
        <f>IF(B430="","",COUNTIF($R$4:$R$4803,B430))</f>
        <v/>
      </c>
      <c r="B430" s="1" t="n"/>
      <c r="C430" s="18">
        <f>IFERROR(
(
SUMIF('Q1'!$AM$14:$AM$613,B430,'Q1'!$T$14:$T$613)
+SUMIF('Q2'!$AM$14:$AM$613,B430,'Q2'!$T$14:$T$613)
)
/A430,"")</f>
        <v/>
      </c>
      <c r="R430">
        <f>'Q1'!AM440</f>
        <v/>
      </c>
    </row>
    <row r="431">
      <c r="A431" s="1">
        <f>IF(B431="","",COUNTIF($R$4:$R$4803,B431))</f>
        <v/>
      </c>
      <c r="B431" s="1" t="n"/>
      <c r="C431" s="18">
        <f>IFERROR(
(
SUMIF('Q1'!$AM$14:$AM$613,B431,'Q1'!$T$14:$T$613)
+SUMIF('Q2'!$AM$14:$AM$613,B431,'Q2'!$T$14:$T$613)
)
/A431,"")</f>
        <v/>
      </c>
      <c r="R431">
        <f>'Q1'!AM441</f>
        <v/>
      </c>
    </row>
    <row r="432">
      <c r="A432" s="1">
        <f>IF(B432="","",COUNTIF($R$4:$R$4803,B432))</f>
        <v/>
      </c>
      <c r="B432" s="1" t="n"/>
      <c r="C432" s="18">
        <f>IFERROR(
(
SUMIF('Q1'!$AM$14:$AM$613,B432,'Q1'!$T$14:$T$613)
+SUMIF('Q2'!$AM$14:$AM$613,B432,'Q2'!$T$14:$T$613)
)
/A432,"")</f>
        <v/>
      </c>
      <c r="R432">
        <f>'Q1'!AM442</f>
        <v/>
      </c>
    </row>
    <row r="433">
      <c r="A433" s="1">
        <f>IF(B433="","",COUNTIF($R$4:$R$4803,B433))</f>
        <v/>
      </c>
      <c r="B433" s="1" t="n"/>
      <c r="C433" s="18">
        <f>IFERROR(
(
SUMIF('Q1'!$AM$14:$AM$613,B433,'Q1'!$T$14:$T$613)
+SUMIF('Q2'!$AM$14:$AM$613,B433,'Q2'!$T$14:$T$613)
)
/A433,"")</f>
        <v/>
      </c>
      <c r="R433">
        <f>'Q1'!AM443</f>
        <v/>
      </c>
    </row>
    <row r="434">
      <c r="A434" s="1">
        <f>IF(B434="","",COUNTIF($R$4:$R$4803,B434))</f>
        <v/>
      </c>
      <c r="B434" s="1" t="n"/>
      <c r="C434" s="18">
        <f>IFERROR(
(
SUMIF('Q1'!$AM$14:$AM$613,B434,'Q1'!$T$14:$T$613)
+SUMIF('Q2'!$AM$14:$AM$613,B434,'Q2'!$T$14:$T$613)
)
/A434,"")</f>
        <v/>
      </c>
      <c r="R434">
        <f>'Q1'!AM444</f>
        <v/>
      </c>
    </row>
    <row r="435">
      <c r="A435" s="1">
        <f>IF(B435="","",COUNTIF($R$4:$R$4803,B435))</f>
        <v/>
      </c>
      <c r="B435" s="1" t="n"/>
      <c r="C435" s="18">
        <f>IFERROR(
(
SUMIF('Q1'!$AM$14:$AM$613,B435,'Q1'!$T$14:$T$613)
+SUMIF('Q2'!$AM$14:$AM$613,B435,'Q2'!$T$14:$T$613)
)
/A435,"")</f>
        <v/>
      </c>
      <c r="R435">
        <f>'Q1'!AM445</f>
        <v/>
      </c>
    </row>
    <row r="436">
      <c r="A436" s="1">
        <f>IF(B436="","",COUNTIF($R$4:$R$4803,B436))</f>
        <v/>
      </c>
      <c r="B436" s="1" t="n"/>
      <c r="C436" s="18">
        <f>IFERROR(
(
SUMIF('Q1'!$AM$14:$AM$613,B436,'Q1'!$T$14:$T$613)
+SUMIF('Q2'!$AM$14:$AM$613,B436,'Q2'!$T$14:$T$613)
)
/A436,"")</f>
        <v/>
      </c>
      <c r="R436">
        <f>'Q1'!AM446</f>
        <v/>
      </c>
    </row>
    <row r="437">
      <c r="A437" s="1">
        <f>IF(B437="","",COUNTIF($R$4:$R$4803,B437))</f>
        <v/>
      </c>
      <c r="B437" s="1" t="n"/>
      <c r="C437" s="18">
        <f>IFERROR(
(
SUMIF('Q1'!$AM$14:$AM$613,B437,'Q1'!$T$14:$T$613)
+SUMIF('Q2'!$AM$14:$AM$613,B437,'Q2'!$T$14:$T$613)
)
/A437,"")</f>
        <v/>
      </c>
      <c r="R437">
        <f>'Q1'!AM447</f>
        <v/>
      </c>
    </row>
    <row r="438">
      <c r="A438" s="1">
        <f>IF(B438="","",COUNTIF($R$4:$R$4803,B438))</f>
        <v/>
      </c>
      <c r="B438" s="1" t="n"/>
      <c r="C438" s="18">
        <f>IFERROR(
(
SUMIF('Q1'!$AM$14:$AM$613,B438,'Q1'!$T$14:$T$613)
+SUMIF('Q2'!$AM$14:$AM$613,B438,'Q2'!$T$14:$T$613)
)
/A438,"")</f>
        <v/>
      </c>
      <c r="R438">
        <f>'Q1'!AM448</f>
        <v/>
      </c>
    </row>
    <row r="439">
      <c r="A439" s="1">
        <f>IF(B439="","",COUNTIF($R$4:$R$4803,B439))</f>
        <v/>
      </c>
      <c r="B439" s="1" t="n"/>
      <c r="C439" s="18">
        <f>IFERROR(
(
SUMIF('Q1'!$AM$14:$AM$613,B439,'Q1'!$T$14:$T$613)
+SUMIF('Q2'!$AM$14:$AM$613,B439,'Q2'!$T$14:$T$613)
)
/A439,"")</f>
        <v/>
      </c>
      <c r="R439">
        <f>'Q1'!AM449</f>
        <v/>
      </c>
    </row>
    <row r="440">
      <c r="A440" s="1">
        <f>IF(B440="","",COUNTIF($R$4:$R$4803,B440))</f>
        <v/>
      </c>
      <c r="B440" s="1" t="n"/>
      <c r="C440" s="18">
        <f>IFERROR(
(
SUMIF('Q1'!$AM$14:$AM$613,B440,'Q1'!$T$14:$T$613)
+SUMIF('Q2'!$AM$14:$AM$613,B440,'Q2'!$T$14:$T$613)
)
/A440,"")</f>
        <v/>
      </c>
      <c r="R440">
        <f>'Q1'!AM450</f>
        <v/>
      </c>
    </row>
    <row r="441">
      <c r="A441" s="1">
        <f>IF(B441="","",COUNTIF($R$4:$R$4803,B441))</f>
        <v/>
      </c>
      <c r="B441" s="1" t="n"/>
      <c r="C441" s="18">
        <f>IFERROR(
(
SUMIF('Q1'!$AM$14:$AM$613,B441,'Q1'!$T$14:$T$613)
+SUMIF('Q2'!$AM$14:$AM$613,B441,'Q2'!$T$14:$T$613)
)
/A441,"")</f>
        <v/>
      </c>
      <c r="R441">
        <f>'Q1'!AM451</f>
        <v/>
      </c>
    </row>
    <row r="442">
      <c r="A442" s="1">
        <f>IF(B442="","",COUNTIF($R$4:$R$4803,B442))</f>
        <v/>
      </c>
      <c r="B442" s="1" t="n"/>
      <c r="C442" s="18">
        <f>IFERROR(
(
SUMIF('Q1'!$AM$14:$AM$613,B442,'Q1'!$T$14:$T$613)
+SUMIF('Q2'!$AM$14:$AM$613,B442,'Q2'!$T$14:$T$613)
)
/A442,"")</f>
        <v/>
      </c>
      <c r="R442">
        <f>'Q1'!AM452</f>
        <v/>
      </c>
    </row>
    <row r="443">
      <c r="A443" s="1">
        <f>IF(B443="","",COUNTIF($R$4:$R$4803,B443))</f>
        <v/>
      </c>
      <c r="B443" s="1" t="n"/>
      <c r="C443" s="18">
        <f>IFERROR(
(
SUMIF('Q1'!$AM$14:$AM$613,B443,'Q1'!$T$14:$T$613)
+SUMIF('Q2'!$AM$14:$AM$613,B443,'Q2'!$T$14:$T$613)
)
/A443,"")</f>
        <v/>
      </c>
      <c r="R443">
        <f>'Q1'!AM453</f>
        <v/>
      </c>
    </row>
    <row r="444">
      <c r="A444" s="1">
        <f>IF(B444="","",COUNTIF($R$4:$R$4803,B444))</f>
        <v/>
      </c>
      <c r="B444" s="1" t="n"/>
      <c r="C444" s="18">
        <f>IFERROR(
(
SUMIF('Q1'!$AM$14:$AM$613,B444,'Q1'!$T$14:$T$613)
+SUMIF('Q2'!$AM$14:$AM$613,B444,'Q2'!$T$14:$T$613)
)
/A444,"")</f>
        <v/>
      </c>
      <c r="R444">
        <f>'Q1'!AM454</f>
        <v/>
      </c>
    </row>
    <row r="445">
      <c r="A445" s="1">
        <f>IF(B445="","",COUNTIF($R$4:$R$4803,B445))</f>
        <v/>
      </c>
      <c r="B445" s="1" t="n"/>
      <c r="C445" s="18">
        <f>IFERROR(
(
SUMIF('Q1'!$AM$14:$AM$613,B445,'Q1'!$T$14:$T$613)
+SUMIF('Q2'!$AM$14:$AM$613,B445,'Q2'!$T$14:$T$613)
)
/A445,"")</f>
        <v/>
      </c>
      <c r="R445">
        <f>'Q1'!AM455</f>
        <v/>
      </c>
    </row>
    <row r="446">
      <c r="A446" s="1">
        <f>IF(B446="","",COUNTIF($R$4:$R$4803,B446))</f>
        <v/>
      </c>
      <c r="B446" s="1" t="n"/>
      <c r="C446" s="18">
        <f>IFERROR(
(
SUMIF('Q1'!$AM$14:$AM$613,B446,'Q1'!$T$14:$T$613)
+SUMIF('Q2'!$AM$14:$AM$613,B446,'Q2'!$T$14:$T$613)
)
/A446,"")</f>
        <v/>
      </c>
      <c r="R446">
        <f>'Q1'!AM456</f>
        <v/>
      </c>
    </row>
    <row r="447">
      <c r="A447" s="1">
        <f>IF(B447="","",COUNTIF($R$4:$R$4803,B447))</f>
        <v/>
      </c>
      <c r="B447" s="1" t="n"/>
      <c r="C447" s="18">
        <f>IFERROR(
(
SUMIF('Q1'!$AM$14:$AM$613,B447,'Q1'!$T$14:$T$613)
+SUMIF('Q2'!$AM$14:$AM$613,B447,'Q2'!$T$14:$T$613)
)
/A447,"")</f>
        <v/>
      </c>
      <c r="R447">
        <f>'Q1'!AM457</f>
        <v/>
      </c>
    </row>
    <row r="448">
      <c r="A448" s="1">
        <f>IF(B448="","",COUNTIF($R$4:$R$4803,B448))</f>
        <v/>
      </c>
      <c r="B448" s="1" t="n"/>
      <c r="C448" s="18">
        <f>IFERROR(
(
SUMIF('Q1'!$AM$14:$AM$613,B448,'Q1'!$T$14:$T$613)
+SUMIF('Q2'!$AM$14:$AM$613,B448,'Q2'!$T$14:$T$613)
)
/A448,"")</f>
        <v/>
      </c>
      <c r="R448">
        <f>'Q1'!AM458</f>
        <v/>
      </c>
    </row>
    <row r="449">
      <c r="A449" s="1">
        <f>IF(B449="","",COUNTIF($R$4:$R$4803,B449))</f>
        <v/>
      </c>
      <c r="B449" s="1" t="n"/>
      <c r="C449" s="18">
        <f>IFERROR(
(
SUMIF('Q1'!$AM$14:$AM$613,B449,'Q1'!$T$14:$T$613)
+SUMIF('Q2'!$AM$14:$AM$613,B449,'Q2'!$T$14:$T$613)
)
/A449,"")</f>
        <v/>
      </c>
      <c r="R449">
        <f>'Q1'!AM459</f>
        <v/>
      </c>
    </row>
    <row r="450">
      <c r="A450" s="1">
        <f>IF(B450="","",COUNTIF($R$4:$R$4803,B450))</f>
        <v/>
      </c>
      <c r="B450" s="1" t="n"/>
      <c r="C450" s="18">
        <f>IFERROR(
(
SUMIF('Q1'!$AM$14:$AM$613,B450,'Q1'!$T$14:$T$613)
+SUMIF('Q2'!$AM$14:$AM$613,B450,'Q2'!$T$14:$T$613)
)
/A450,"")</f>
        <v/>
      </c>
      <c r="R450">
        <f>'Q1'!AM460</f>
        <v/>
      </c>
    </row>
    <row r="451">
      <c r="A451" s="1">
        <f>IF(B451="","",COUNTIF($R$4:$R$4803,B451))</f>
        <v/>
      </c>
      <c r="B451" s="1" t="n"/>
      <c r="C451" s="18">
        <f>IFERROR(
(
SUMIF('Q1'!$AM$14:$AM$613,B451,'Q1'!$T$14:$T$613)
+SUMIF('Q2'!$AM$14:$AM$613,B451,'Q2'!$T$14:$T$613)
)
/A451,"")</f>
        <v/>
      </c>
      <c r="R451">
        <f>'Q1'!AM461</f>
        <v/>
      </c>
    </row>
    <row r="452">
      <c r="A452" s="1">
        <f>IF(B452="","",COUNTIF($R$4:$R$4803,B452))</f>
        <v/>
      </c>
      <c r="B452" s="1" t="n"/>
      <c r="C452" s="18">
        <f>IFERROR(
(
SUMIF('Q1'!$AM$14:$AM$613,B452,'Q1'!$T$14:$T$613)
+SUMIF('Q2'!$AM$14:$AM$613,B452,'Q2'!$T$14:$T$613)
)
/A452,"")</f>
        <v/>
      </c>
      <c r="R452">
        <f>'Q1'!AM462</f>
        <v/>
      </c>
    </row>
    <row r="453">
      <c r="A453" s="1">
        <f>IF(B453="","",COUNTIF($R$4:$R$4803,B453))</f>
        <v/>
      </c>
      <c r="B453" s="1" t="n"/>
      <c r="C453" s="18">
        <f>IFERROR(
(
SUMIF('Q1'!$AM$14:$AM$613,B453,'Q1'!$T$14:$T$613)
+SUMIF('Q2'!$AM$14:$AM$613,B453,'Q2'!$T$14:$T$613)
)
/A453,"")</f>
        <v/>
      </c>
      <c r="R453">
        <f>'Q1'!AM463</f>
        <v/>
      </c>
    </row>
    <row r="454">
      <c r="A454" s="1">
        <f>IF(B454="","",COUNTIF($R$4:$R$4803,B454))</f>
        <v/>
      </c>
      <c r="B454" s="1" t="n"/>
      <c r="C454" s="18">
        <f>IFERROR(
(
SUMIF('Q1'!$AM$14:$AM$613,B454,'Q1'!$T$14:$T$613)
+SUMIF('Q2'!$AM$14:$AM$613,B454,'Q2'!$T$14:$T$613)
)
/A454,"")</f>
        <v/>
      </c>
      <c r="R454">
        <f>'Q1'!AM464</f>
        <v/>
      </c>
    </row>
    <row r="455">
      <c r="A455" s="1">
        <f>IF(B455="","",COUNTIF($R$4:$R$4803,B455))</f>
        <v/>
      </c>
      <c r="B455" s="1" t="n"/>
      <c r="C455" s="18">
        <f>IFERROR(
(
SUMIF('Q1'!$AM$14:$AM$613,B455,'Q1'!$T$14:$T$613)
+SUMIF('Q2'!$AM$14:$AM$613,B455,'Q2'!$T$14:$T$613)
)
/A455,"")</f>
        <v/>
      </c>
      <c r="R455">
        <f>'Q1'!AM465</f>
        <v/>
      </c>
    </row>
    <row r="456">
      <c r="A456" s="1">
        <f>IF(B456="","",COUNTIF($R$4:$R$4803,B456))</f>
        <v/>
      </c>
      <c r="B456" s="1" t="n"/>
      <c r="C456" s="18">
        <f>IFERROR(
(
SUMIF('Q1'!$AM$14:$AM$613,B456,'Q1'!$T$14:$T$613)
+SUMIF('Q2'!$AM$14:$AM$613,B456,'Q2'!$T$14:$T$613)
)
/A456,"")</f>
        <v/>
      </c>
      <c r="R456">
        <f>'Q1'!AM466</f>
        <v/>
      </c>
    </row>
    <row r="457">
      <c r="A457" s="1">
        <f>IF(B457="","",COUNTIF($R$4:$R$4803,B457))</f>
        <v/>
      </c>
      <c r="B457" s="1" t="n"/>
      <c r="C457" s="18">
        <f>IFERROR(
(
SUMIF('Q1'!$AM$14:$AM$613,B457,'Q1'!$T$14:$T$613)
+SUMIF('Q2'!$AM$14:$AM$613,B457,'Q2'!$T$14:$T$613)
)
/A457,"")</f>
        <v/>
      </c>
      <c r="R457">
        <f>'Q1'!AM467</f>
        <v/>
      </c>
    </row>
    <row r="458">
      <c r="A458" s="1">
        <f>IF(B458="","",COUNTIF($R$4:$R$4803,B458))</f>
        <v/>
      </c>
      <c r="B458" s="1" t="n"/>
      <c r="C458" s="18">
        <f>IFERROR(
(
SUMIF('Q1'!$AM$14:$AM$613,B458,'Q1'!$T$14:$T$613)
+SUMIF('Q2'!$AM$14:$AM$613,B458,'Q2'!$T$14:$T$613)
)
/A458,"")</f>
        <v/>
      </c>
      <c r="R458">
        <f>'Q1'!AM468</f>
        <v/>
      </c>
    </row>
    <row r="459">
      <c r="A459" s="1">
        <f>IF(B459="","",COUNTIF($R$4:$R$4803,B459))</f>
        <v/>
      </c>
      <c r="B459" s="1" t="n"/>
      <c r="C459" s="18">
        <f>IFERROR(
(
SUMIF('Q1'!$AM$14:$AM$613,B459,'Q1'!$T$14:$T$613)
+SUMIF('Q2'!$AM$14:$AM$613,B459,'Q2'!$T$14:$T$613)
)
/A459,"")</f>
        <v/>
      </c>
      <c r="R459">
        <f>'Q1'!AM469</f>
        <v/>
      </c>
    </row>
    <row r="460">
      <c r="A460" s="1">
        <f>IF(B460="","",COUNTIF($R$4:$R$4803,B460))</f>
        <v/>
      </c>
      <c r="B460" s="1" t="n"/>
      <c r="C460" s="18">
        <f>IFERROR(
(
SUMIF('Q1'!$AM$14:$AM$613,B460,'Q1'!$T$14:$T$613)
+SUMIF('Q2'!$AM$14:$AM$613,B460,'Q2'!$T$14:$T$613)
)
/A460,"")</f>
        <v/>
      </c>
      <c r="R460">
        <f>'Q1'!AM470</f>
        <v/>
      </c>
    </row>
    <row r="461">
      <c r="A461" s="1">
        <f>IF(B461="","",COUNTIF($R$4:$R$4803,B461))</f>
        <v/>
      </c>
      <c r="B461" s="1" t="n"/>
      <c r="C461" s="18">
        <f>IFERROR(
(
SUMIF('Q1'!$AM$14:$AM$613,B461,'Q1'!$T$14:$T$613)
+SUMIF('Q2'!$AM$14:$AM$613,B461,'Q2'!$T$14:$T$613)
)
/A461,"")</f>
        <v/>
      </c>
      <c r="R461">
        <f>'Q1'!AM471</f>
        <v/>
      </c>
    </row>
    <row r="462">
      <c r="A462" s="1">
        <f>IF(B462="","",COUNTIF($R$4:$R$4803,B462))</f>
        <v/>
      </c>
      <c r="B462" s="1" t="n"/>
      <c r="C462" s="18">
        <f>IFERROR(
(
SUMIF('Q1'!$AM$14:$AM$613,B462,'Q1'!$T$14:$T$613)
+SUMIF('Q2'!$AM$14:$AM$613,B462,'Q2'!$T$14:$T$613)
)
/A462,"")</f>
        <v/>
      </c>
      <c r="R462">
        <f>'Q1'!AM472</f>
        <v/>
      </c>
    </row>
    <row r="463">
      <c r="A463" s="1">
        <f>IF(B463="","",COUNTIF($R$4:$R$4803,B463))</f>
        <v/>
      </c>
      <c r="B463" s="1" t="n"/>
      <c r="C463" s="18">
        <f>IFERROR(
(
SUMIF('Q1'!$AM$14:$AM$613,B463,'Q1'!$T$14:$T$613)
+SUMIF('Q2'!$AM$14:$AM$613,B463,'Q2'!$T$14:$T$613)
)
/A463,"")</f>
        <v/>
      </c>
      <c r="R463">
        <f>'Q1'!AM473</f>
        <v/>
      </c>
    </row>
    <row r="464">
      <c r="A464" s="1">
        <f>IF(B464="","",COUNTIF($R$4:$R$4803,B464))</f>
        <v/>
      </c>
      <c r="B464" s="1" t="n"/>
      <c r="C464" s="18">
        <f>IFERROR(
(
SUMIF('Q1'!$AM$14:$AM$613,B464,'Q1'!$T$14:$T$613)
+SUMIF('Q2'!$AM$14:$AM$613,B464,'Q2'!$T$14:$T$613)
)
/A464,"")</f>
        <v/>
      </c>
      <c r="R464">
        <f>'Q1'!AM474</f>
        <v/>
      </c>
    </row>
    <row r="465">
      <c r="A465" s="1">
        <f>IF(B465="","",COUNTIF($R$4:$R$4803,B465))</f>
        <v/>
      </c>
      <c r="B465" s="1" t="n"/>
      <c r="C465" s="18">
        <f>IFERROR(
(
SUMIF('Q1'!$AM$14:$AM$613,B465,'Q1'!$T$14:$T$613)
+SUMIF('Q2'!$AM$14:$AM$613,B465,'Q2'!$T$14:$T$613)
)
/A465,"")</f>
        <v/>
      </c>
      <c r="R465">
        <f>'Q1'!AM475</f>
        <v/>
      </c>
    </row>
    <row r="466">
      <c r="A466" s="1">
        <f>IF(B466="","",COUNTIF($R$4:$R$4803,B466))</f>
        <v/>
      </c>
      <c r="B466" s="1" t="n"/>
      <c r="C466" s="18">
        <f>IFERROR(
(
SUMIF('Q1'!$AM$14:$AM$613,B466,'Q1'!$T$14:$T$613)
+SUMIF('Q2'!$AM$14:$AM$613,B466,'Q2'!$T$14:$T$613)
)
/A466,"")</f>
        <v/>
      </c>
      <c r="R466">
        <f>'Q1'!AM476</f>
        <v/>
      </c>
    </row>
    <row r="467">
      <c r="A467" s="1">
        <f>IF(B467="","",COUNTIF($R$4:$R$4803,B467))</f>
        <v/>
      </c>
      <c r="B467" s="1" t="n"/>
      <c r="C467" s="18">
        <f>IFERROR(
(
SUMIF('Q1'!$AM$14:$AM$613,B467,'Q1'!$T$14:$T$613)
+SUMIF('Q2'!$AM$14:$AM$613,B467,'Q2'!$T$14:$T$613)
)
/A467,"")</f>
        <v/>
      </c>
      <c r="R467">
        <f>'Q1'!AM477</f>
        <v/>
      </c>
    </row>
    <row r="468">
      <c r="A468" s="1">
        <f>IF(B468="","",COUNTIF($R$4:$R$4803,B468))</f>
        <v/>
      </c>
      <c r="B468" s="1" t="n"/>
      <c r="C468" s="18">
        <f>IFERROR(
(
SUMIF('Q1'!$AM$14:$AM$613,B468,'Q1'!$T$14:$T$613)
+SUMIF('Q2'!$AM$14:$AM$613,B468,'Q2'!$T$14:$T$613)
)
/A468,"")</f>
        <v/>
      </c>
      <c r="R468">
        <f>'Q1'!AM478</f>
        <v/>
      </c>
    </row>
    <row r="469">
      <c r="A469" s="1">
        <f>IF(B469="","",COUNTIF($R$4:$R$4803,B469))</f>
        <v/>
      </c>
      <c r="B469" s="1" t="n"/>
      <c r="C469" s="18">
        <f>IFERROR(
(
SUMIF('Q1'!$AM$14:$AM$613,B469,'Q1'!$T$14:$T$613)
+SUMIF('Q2'!$AM$14:$AM$613,B469,'Q2'!$T$14:$T$613)
)
/A469,"")</f>
        <v/>
      </c>
      <c r="R469">
        <f>'Q1'!AM479</f>
        <v/>
      </c>
    </row>
    <row r="470">
      <c r="A470" s="1">
        <f>IF(B470="","",COUNTIF($R$4:$R$4803,B470))</f>
        <v/>
      </c>
      <c r="B470" s="1" t="n"/>
      <c r="C470" s="18">
        <f>IFERROR(
(
SUMIF('Q1'!$AM$14:$AM$613,B470,'Q1'!$T$14:$T$613)
+SUMIF('Q2'!$AM$14:$AM$613,B470,'Q2'!$T$14:$T$613)
)
/A470,"")</f>
        <v/>
      </c>
      <c r="R470">
        <f>'Q1'!AM480</f>
        <v/>
      </c>
    </row>
    <row r="471">
      <c r="A471" s="1">
        <f>IF(B471="","",COUNTIF($R$4:$R$4803,B471))</f>
        <v/>
      </c>
      <c r="B471" s="1" t="n"/>
      <c r="C471" s="18">
        <f>IFERROR(
(
SUMIF('Q1'!$AM$14:$AM$613,B471,'Q1'!$T$14:$T$613)
+SUMIF('Q2'!$AM$14:$AM$613,B471,'Q2'!$T$14:$T$613)
)
/A471,"")</f>
        <v/>
      </c>
      <c r="R471">
        <f>'Q1'!AM481</f>
        <v/>
      </c>
    </row>
    <row r="472">
      <c r="A472" s="1">
        <f>IF(B472="","",COUNTIF($R$4:$R$4803,B472))</f>
        <v/>
      </c>
      <c r="B472" s="1" t="n"/>
      <c r="C472" s="18">
        <f>IFERROR(
(
SUMIF('Q1'!$AM$14:$AM$613,B472,'Q1'!$T$14:$T$613)
+SUMIF('Q2'!$AM$14:$AM$613,B472,'Q2'!$T$14:$T$613)
)
/A472,"")</f>
        <v/>
      </c>
      <c r="R472">
        <f>'Q1'!AM482</f>
        <v/>
      </c>
    </row>
    <row r="473">
      <c r="A473" s="1">
        <f>IF(B473="","",COUNTIF($R$4:$R$4803,B473))</f>
        <v/>
      </c>
      <c r="B473" s="1" t="n"/>
      <c r="C473" s="18">
        <f>IFERROR(
(
SUMIF('Q1'!$AM$14:$AM$613,B473,'Q1'!$T$14:$T$613)
+SUMIF('Q2'!$AM$14:$AM$613,B473,'Q2'!$T$14:$T$613)
)
/A473,"")</f>
        <v/>
      </c>
      <c r="R473">
        <f>'Q1'!AM483</f>
        <v/>
      </c>
    </row>
    <row r="474">
      <c r="A474" s="1">
        <f>IF(B474="","",COUNTIF($R$4:$R$4803,B474))</f>
        <v/>
      </c>
      <c r="B474" s="1" t="n"/>
      <c r="C474" s="18">
        <f>IFERROR(
(
SUMIF('Q1'!$AM$14:$AM$613,B474,'Q1'!$T$14:$T$613)
+SUMIF('Q2'!$AM$14:$AM$613,B474,'Q2'!$T$14:$T$613)
)
/A474,"")</f>
        <v/>
      </c>
      <c r="R474">
        <f>'Q1'!AM484</f>
        <v/>
      </c>
    </row>
    <row r="475">
      <c r="A475" s="1">
        <f>IF(B475="","",COUNTIF($R$4:$R$4803,B475))</f>
        <v/>
      </c>
      <c r="B475" s="1" t="n"/>
      <c r="C475" s="18">
        <f>IFERROR(
(
SUMIF('Q1'!$AM$14:$AM$613,B475,'Q1'!$T$14:$T$613)
+SUMIF('Q2'!$AM$14:$AM$613,B475,'Q2'!$T$14:$T$613)
)
/A475,"")</f>
        <v/>
      </c>
      <c r="R475">
        <f>'Q1'!AM485</f>
        <v/>
      </c>
    </row>
    <row r="476">
      <c r="A476" s="1">
        <f>IF(B476="","",COUNTIF($R$4:$R$4803,B476))</f>
        <v/>
      </c>
      <c r="B476" s="1" t="n"/>
      <c r="C476" s="18">
        <f>IFERROR(
(
SUMIF('Q1'!$AM$14:$AM$613,B476,'Q1'!$T$14:$T$613)
+SUMIF('Q2'!$AM$14:$AM$613,B476,'Q2'!$T$14:$T$613)
)
/A476,"")</f>
        <v/>
      </c>
      <c r="R476">
        <f>'Q1'!AM486</f>
        <v/>
      </c>
    </row>
    <row r="477">
      <c r="A477" s="1">
        <f>IF(B477="","",COUNTIF($R$4:$R$4803,B477))</f>
        <v/>
      </c>
      <c r="B477" s="1" t="n"/>
      <c r="C477" s="18">
        <f>IFERROR(
(
SUMIF('Q1'!$AM$14:$AM$613,B477,'Q1'!$T$14:$T$613)
+SUMIF('Q2'!$AM$14:$AM$613,B477,'Q2'!$T$14:$T$613)
)
/A477,"")</f>
        <v/>
      </c>
      <c r="R477">
        <f>'Q1'!AM487</f>
        <v/>
      </c>
    </row>
    <row r="478">
      <c r="A478" s="1">
        <f>IF(B478="","",COUNTIF($R$4:$R$4803,B478))</f>
        <v/>
      </c>
      <c r="B478" s="1" t="n"/>
      <c r="C478" s="18">
        <f>IFERROR(
(
SUMIF('Q1'!$AM$14:$AM$613,B478,'Q1'!$T$14:$T$613)
+SUMIF('Q2'!$AM$14:$AM$613,B478,'Q2'!$T$14:$T$613)
)
/A478,"")</f>
        <v/>
      </c>
      <c r="R478">
        <f>'Q1'!AM488</f>
        <v/>
      </c>
    </row>
    <row r="479">
      <c r="A479" s="1">
        <f>IF(B479="","",COUNTIF($R$4:$R$4803,B479))</f>
        <v/>
      </c>
      <c r="B479" s="1" t="n"/>
      <c r="C479" s="18">
        <f>IFERROR(
(
SUMIF('Q1'!$AM$14:$AM$613,B479,'Q1'!$T$14:$T$613)
+SUMIF('Q2'!$AM$14:$AM$613,B479,'Q2'!$T$14:$T$613)
)
/A479,"")</f>
        <v/>
      </c>
      <c r="R479">
        <f>'Q1'!AM489</f>
        <v/>
      </c>
    </row>
    <row r="480">
      <c r="A480" s="1">
        <f>IF(B480="","",COUNTIF($R$4:$R$4803,B480))</f>
        <v/>
      </c>
      <c r="B480" s="1" t="n"/>
      <c r="C480" s="18">
        <f>IFERROR(
(
SUMIF('Q1'!$AM$14:$AM$613,B480,'Q1'!$T$14:$T$613)
+SUMIF('Q2'!$AM$14:$AM$613,B480,'Q2'!$T$14:$T$613)
)
/A480,"")</f>
        <v/>
      </c>
      <c r="R480">
        <f>'Q1'!AM490</f>
        <v/>
      </c>
    </row>
    <row r="481">
      <c r="A481" s="1">
        <f>IF(B481="","",COUNTIF($R$4:$R$4803,B481))</f>
        <v/>
      </c>
      <c r="B481" s="1" t="n"/>
      <c r="C481" s="18">
        <f>IFERROR(
(
SUMIF('Q1'!$AM$14:$AM$613,B481,'Q1'!$T$14:$T$613)
+SUMIF('Q2'!$AM$14:$AM$613,B481,'Q2'!$T$14:$T$613)
)
/A481,"")</f>
        <v/>
      </c>
      <c r="R481">
        <f>'Q1'!AM491</f>
        <v/>
      </c>
    </row>
    <row r="482">
      <c r="A482" s="1">
        <f>IF(B482="","",COUNTIF($R$4:$R$4803,B482))</f>
        <v/>
      </c>
      <c r="B482" s="1" t="n"/>
      <c r="C482" s="18">
        <f>IFERROR(
(
SUMIF('Q1'!$AM$14:$AM$613,B482,'Q1'!$T$14:$T$613)
+SUMIF('Q2'!$AM$14:$AM$613,B482,'Q2'!$T$14:$T$613)
)
/A482,"")</f>
        <v/>
      </c>
      <c r="R482">
        <f>'Q1'!AM492</f>
        <v/>
      </c>
    </row>
    <row r="483">
      <c r="A483" s="1">
        <f>IF(B483="","",COUNTIF($R$4:$R$4803,B483))</f>
        <v/>
      </c>
      <c r="B483" s="1" t="n"/>
      <c r="C483" s="18">
        <f>IFERROR(
(
SUMIF('Q1'!$AM$14:$AM$613,B483,'Q1'!$T$14:$T$613)
+SUMIF('Q2'!$AM$14:$AM$613,B483,'Q2'!$T$14:$T$613)
)
/A483,"")</f>
        <v/>
      </c>
      <c r="R483">
        <f>'Q1'!AM493</f>
        <v/>
      </c>
    </row>
    <row r="484">
      <c r="A484" s="1">
        <f>IF(B484="","",COUNTIF($R$4:$R$4803,B484))</f>
        <v/>
      </c>
      <c r="B484" s="1" t="n"/>
      <c r="C484" s="18">
        <f>IFERROR(
(
SUMIF('Q1'!$AM$14:$AM$613,B484,'Q1'!$T$14:$T$613)
+SUMIF('Q2'!$AM$14:$AM$613,B484,'Q2'!$T$14:$T$613)
)
/A484,"")</f>
        <v/>
      </c>
      <c r="R484">
        <f>'Q1'!AM494</f>
        <v/>
      </c>
    </row>
    <row r="485">
      <c r="A485" s="1">
        <f>IF(B485="","",COUNTIF($R$4:$R$4803,B485))</f>
        <v/>
      </c>
      <c r="B485" s="1" t="n"/>
      <c r="C485" s="18">
        <f>IFERROR(
(
SUMIF('Q1'!$AM$14:$AM$613,B485,'Q1'!$T$14:$T$613)
+SUMIF('Q2'!$AM$14:$AM$613,B485,'Q2'!$T$14:$T$613)
)
/A485,"")</f>
        <v/>
      </c>
      <c r="R485">
        <f>'Q1'!AM495</f>
        <v/>
      </c>
    </row>
    <row r="486">
      <c r="A486" s="1">
        <f>IF(B486="","",COUNTIF($R$4:$R$4803,B486))</f>
        <v/>
      </c>
      <c r="B486" s="1" t="n"/>
      <c r="C486" s="18">
        <f>IFERROR(
(
SUMIF('Q1'!$AM$14:$AM$613,B486,'Q1'!$T$14:$T$613)
+SUMIF('Q2'!$AM$14:$AM$613,B486,'Q2'!$T$14:$T$613)
)
/A486,"")</f>
        <v/>
      </c>
      <c r="R486">
        <f>'Q1'!AM496</f>
        <v/>
      </c>
    </row>
    <row r="487">
      <c r="A487" s="1">
        <f>IF(B487="","",COUNTIF($R$4:$R$4803,B487))</f>
        <v/>
      </c>
      <c r="B487" s="1" t="n"/>
      <c r="C487" s="18">
        <f>IFERROR(
(
SUMIF('Q1'!$AM$14:$AM$613,B487,'Q1'!$T$14:$T$613)
+SUMIF('Q2'!$AM$14:$AM$613,B487,'Q2'!$T$14:$T$613)
)
/A487,"")</f>
        <v/>
      </c>
      <c r="R487">
        <f>'Q1'!AM497</f>
        <v/>
      </c>
    </row>
    <row r="488">
      <c r="A488" s="1">
        <f>IF(B488="","",COUNTIF($R$4:$R$4803,B488))</f>
        <v/>
      </c>
      <c r="B488" s="1" t="n"/>
      <c r="C488" s="18">
        <f>IFERROR(
(
SUMIF('Q1'!$AM$14:$AM$613,B488,'Q1'!$T$14:$T$613)
+SUMIF('Q2'!$AM$14:$AM$613,B488,'Q2'!$T$14:$T$613)
)
/A488,"")</f>
        <v/>
      </c>
      <c r="R488">
        <f>'Q1'!AM498</f>
        <v/>
      </c>
    </row>
    <row r="489">
      <c r="A489" s="1">
        <f>IF(B489="","",COUNTIF($R$4:$R$4803,B489))</f>
        <v/>
      </c>
      <c r="B489" s="1" t="n"/>
      <c r="C489" s="18">
        <f>IFERROR(
(
SUMIF('Q1'!$AM$14:$AM$613,B489,'Q1'!$T$14:$T$613)
+SUMIF('Q2'!$AM$14:$AM$613,B489,'Q2'!$T$14:$T$613)
)
/A489,"")</f>
        <v/>
      </c>
      <c r="R489">
        <f>'Q1'!AM499</f>
        <v/>
      </c>
    </row>
    <row r="490">
      <c r="A490" s="1">
        <f>IF(B490="","",COUNTIF($R$4:$R$4803,B490))</f>
        <v/>
      </c>
      <c r="B490" s="1" t="n"/>
      <c r="C490" s="18">
        <f>IFERROR(
(
SUMIF('Q1'!$AM$14:$AM$613,B490,'Q1'!$T$14:$T$613)
+SUMIF('Q2'!$AM$14:$AM$613,B490,'Q2'!$T$14:$T$613)
)
/A490,"")</f>
        <v/>
      </c>
      <c r="R490">
        <f>'Q1'!AM500</f>
        <v/>
      </c>
    </row>
    <row r="491">
      <c r="A491" s="1">
        <f>IF(B491="","",COUNTIF($R$4:$R$4803,B491))</f>
        <v/>
      </c>
      <c r="B491" s="1" t="n"/>
      <c r="C491" s="18">
        <f>IFERROR(
(
SUMIF('Q1'!$AM$14:$AM$613,B491,'Q1'!$T$14:$T$613)
+SUMIF('Q2'!$AM$14:$AM$613,B491,'Q2'!$T$14:$T$613)
)
/A491,"")</f>
        <v/>
      </c>
      <c r="R491">
        <f>'Q1'!AM501</f>
        <v/>
      </c>
    </row>
    <row r="492">
      <c r="A492" s="1">
        <f>IF(B492="","",COUNTIF($R$4:$R$4803,B492))</f>
        <v/>
      </c>
      <c r="B492" s="1" t="n"/>
      <c r="C492" s="18">
        <f>IFERROR(
(
SUMIF('Q1'!$AM$14:$AM$613,B492,'Q1'!$T$14:$T$613)
+SUMIF('Q2'!$AM$14:$AM$613,B492,'Q2'!$T$14:$T$613)
)
/A492,"")</f>
        <v/>
      </c>
      <c r="R492">
        <f>'Q1'!AM502</f>
        <v/>
      </c>
    </row>
    <row r="493">
      <c r="A493" s="1">
        <f>IF(B493="","",COUNTIF($R$4:$R$4803,B493))</f>
        <v/>
      </c>
      <c r="B493" s="1" t="n"/>
      <c r="C493" s="18">
        <f>IFERROR(
(
SUMIF('Q1'!$AM$14:$AM$613,B493,'Q1'!$T$14:$T$613)
+SUMIF('Q2'!$AM$14:$AM$613,B493,'Q2'!$T$14:$T$613)
)
/A493,"")</f>
        <v/>
      </c>
      <c r="R493">
        <f>'Q1'!AM503</f>
        <v/>
      </c>
    </row>
    <row r="494">
      <c r="A494" s="1">
        <f>IF(B494="","",COUNTIF($R$4:$R$4803,B494))</f>
        <v/>
      </c>
      <c r="B494" s="1" t="n"/>
      <c r="C494" s="18">
        <f>IFERROR(
(
SUMIF('Q1'!$AM$14:$AM$613,B494,'Q1'!$T$14:$T$613)
+SUMIF('Q2'!$AM$14:$AM$613,B494,'Q2'!$T$14:$T$613)
)
/A494,"")</f>
        <v/>
      </c>
      <c r="R494">
        <f>'Q1'!AM504</f>
        <v/>
      </c>
    </row>
    <row r="495">
      <c r="A495" s="1">
        <f>IF(B495="","",COUNTIF($R$4:$R$4803,B495))</f>
        <v/>
      </c>
      <c r="B495" s="1" t="n"/>
      <c r="C495" s="18">
        <f>IFERROR(
(
SUMIF('Q1'!$AM$14:$AM$613,B495,'Q1'!$T$14:$T$613)
+SUMIF('Q2'!$AM$14:$AM$613,B495,'Q2'!$T$14:$T$613)
)
/A495,"")</f>
        <v/>
      </c>
      <c r="R495">
        <f>'Q1'!AM505</f>
        <v/>
      </c>
    </row>
    <row r="496">
      <c r="A496" s="1">
        <f>IF(B496="","",COUNTIF($R$4:$R$4803,B496))</f>
        <v/>
      </c>
      <c r="B496" s="1" t="n"/>
      <c r="C496" s="18">
        <f>IFERROR(
(
SUMIF('Q1'!$AM$14:$AM$613,B496,'Q1'!$T$14:$T$613)
+SUMIF('Q2'!$AM$14:$AM$613,B496,'Q2'!$T$14:$T$613)
)
/A496,"")</f>
        <v/>
      </c>
      <c r="R496">
        <f>'Q1'!AM506</f>
        <v/>
      </c>
    </row>
    <row r="497">
      <c r="A497" s="1">
        <f>IF(B497="","",COUNTIF($R$4:$R$4803,B497))</f>
        <v/>
      </c>
      <c r="B497" s="1" t="n"/>
      <c r="C497" s="18">
        <f>IFERROR(
(
SUMIF('Q1'!$AM$14:$AM$613,B497,'Q1'!$T$14:$T$613)
+SUMIF('Q2'!$AM$14:$AM$613,B497,'Q2'!$T$14:$T$613)
)
/A497,"")</f>
        <v/>
      </c>
      <c r="R497">
        <f>'Q1'!AM507</f>
        <v/>
      </c>
    </row>
    <row r="498">
      <c r="A498" s="1">
        <f>IF(B498="","",COUNTIF($R$4:$R$4803,B498))</f>
        <v/>
      </c>
      <c r="B498" s="1" t="n"/>
      <c r="C498" s="18">
        <f>IFERROR(
(
SUMIF('Q1'!$AM$14:$AM$613,B498,'Q1'!$T$14:$T$613)
+SUMIF('Q2'!$AM$14:$AM$613,B498,'Q2'!$T$14:$T$613)
)
/A498,"")</f>
        <v/>
      </c>
      <c r="R498">
        <f>'Q1'!AM508</f>
        <v/>
      </c>
    </row>
    <row r="499">
      <c r="A499" s="1">
        <f>IF(B499="","",COUNTIF($R$4:$R$4803,B499))</f>
        <v/>
      </c>
      <c r="B499" s="1" t="n"/>
      <c r="C499" s="18">
        <f>IFERROR(
(
SUMIF('Q1'!$AM$14:$AM$613,B499,'Q1'!$T$14:$T$613)
+SUMIF('Q2'!$AM$14:$AM$613,B499,'Q2'!$T$14:$T$613)
)
/A499,"")</f>
        <v/>
      </c>
      <c r="R499">
        <f>'Q1'!AM509</f>
        <v/>
      </c>
    </row>
    <row r="500">
      <c r="A500" s="1">
        <f>IF(B500="","",COUNTIF($R$4:$R$4803,B500))</f>
        <v/>
      </c>
      <c r="B500" s="1" t="n"/>
      <c r="C500" s="18">
        <f>IFERROR(
(
SUMIF('Q1'!$AM$14:$AM$613,B500,'Q1'!$T$14:$T$613)
+SUMIF('Q2'!$AM$14:$AM$613,B500,'Q2'!$T$14:$T$613)
)
/A500,"")</f>
        <v/>
      </c>
      <c r="R500">
        <f>'Q1'!AM510</f>
        <v/>
      </c>
    </row>
    <row r="501">
      <c r="R501">
        <f>'Q1'!AM511</f>
        <v/>
      </c>
    </row>
    <row r="502">
      <c r="R502">
        <f>'Q1'!AM512</f>
        <v/>
      </c>
    </row>
    <row r="503">
      <c r="R503">
        <f>'Q1'!AM513</f>
        <v/>
      </c>
    </row>
    <row r="504">
      <c r="R504">
        <f>'Q1'!AM514</f>
        <v/>
      </c>
    </row>
    <row r="505">
      <c r="R505">
        <f>'Q1'!AM515</f>
        <v/>
      </c>
    </row>
    <row r="506">
      <c r="R506">
        <f>'Q1'!AM516</f>
        <v/>
      </c>
    </row>
    <row r="507">
      <c r="R507">
        <f>'Q1'!AM517</f>
        <v/>
      </c>
    </row>
    <row r="508">
      <c r="R508">
        <f>'Q1'!AM518</f>
        <v/>
      </c>
    </row>
    <row r="509">
      <c r="R509">
        <f>'Q1'!AM519</f>
        <v/>
      </c>
    </row>
    <row r="510">
      <c r="R510">
        <f>'Q1'!AM520</f>
        <v/>
      </c>
    </row>
    <row r="511">
      <c r="R511">
        <f>'Q1'!AM521</f>
        <v/>
      </c>
    </row>
    <row r="512">
      <c r="R512">
        <f>'Q1'!AM522</f>
        <v/>
      </c>
    </row>
    <row r="513">
      <c r="R513">
        <f>'Q1'!AM523</f>
        <v/>
      </c>
    </row>
    <row r="514">
      <c r="R514">
        <f>'Q1'!AM524</f>
        <v/>
      </c>
    </row>
    <row r="515">
      <c r="R515">
        <f>'Q1'!AM525</f>
        <v/>
      </c>
    </row>
    <row r="516">
      <c r="R516">
        <f>'Q1'!AM526</f>
        <v/>
      </c>
    </row>
    <row r="517">
      <c r="R517">
        <f>'Q1'!AM527</f>
        <v/>
      </c>
    </row>
    <row r="518">
      <c r="R518">
        <f>'Q1'!AM528</f>
        <v/>
      </c>
    </row>
    <row r="519">
      <c r="R519">
        <f>'Q1'!AM529</f>
        <v/>
      </c>
    </row>
    <row r="520">
      <c r="R520">
        <f>'Q1'!AM530</f>
        <v/>
      </c>
    </row>
    <row r="521">
      <c r="R521">
        <f>'Q1'!AM531</f>
        <v/>
      </c>
    </row>
    <row r="522">
      <c r="R522">
        <f>'Q1'!AM532</f>
        <v/>
      </c>
    </row>
    <row r="523">
      <c r="R523">
        <f>'Q1'!AM533</f>
        <v/>
      </c>
    </row>
    <row r="524">
      <c r="R524">
        <f>'Q1'!AM534</f>
        <v/>
      </c>
    </row>
    <row r="525">
      <c r="R525">
        <f>'Q1'!AM535</f>
        <v/>
      </c>
    </row>
    <row r="526">
      <c r="R526">
        <f>'Q1'!AM536</f>
        <v/>
      </c>
    </row>
    <row r="527">
      <c r="R527">
        <f>'Q1'!AM537</f>
        <v/>
      </c>
    </row>
    <row r="528">
      <c r="R528">
        <f>'Q1'!AM538</f>
        <v/>
      </c>
    </row>
    <row r="529">
      <c r="R529">
        <f>'Q1'!AM539</f>
        <v/>
      </c>
    </row>
    <row r="530">
      <c r="R530">
        <f>'Q1'!AM540</f>
        <v/>
      </c>
    </row>
    <row r="531">
      <c r="R531">
        <f>'Q1'!AM541</f>
        <v/>
      </c>
    </row>
    <row r="532">
      <c r="R532">
        <f>'Q1'!AM542</f>
        <v/>
      </c>
    </row>
    <row r="533">
      <c r="R533">
        <f>'Q1'!AM543</f>
        <v/>
      </c>
    </row>
    <row r="534">
      <c r="R534">
        <f>'Q1'!AM544</f>
        <v/>
      </c>
    </row>
    <row r="535">
      <c r="R535">
        <f>'Q1'!AM545</f>
        <v/>
      </c>
    </row>
    <row r="536">
      <c r="R536">
        <f>'Q1'!AM546</f>
        <v/>
      </c>
    </row>
    <row r="537">
      <c r="R537">
        <f>'Q1'!AM547</f>
        <v/>
      </c>
    </row>
    <row r="538">
      <c r="R538">
        <f>'Q1'!AM548</f>
        <v/>
      </c>
    </row>
    <row r="539">
      <c r="R539">
        <f>'Q1'!AM549</f>
        <v/>
      </c>
    </row>
    <row r="540">
      <c r="R540">
        <f>'Q1'!AM550</f>
        <v/>
      </c>
    </row>
    <row r="541">
      <c r="R541">
        <f>'Q1'!AM551</f>
        <v/>
      </c>
    </row>
    <row r="542">
      <c r="R542">
        <f>'Q1'!AM552</f>
        <v/>
      </c>
    </row>
    <row r="543">
      <c r="R543">
        <f>'Q1'!AM553</f>
        <v/>
      </c>
    </row>
    <row r="544">
      <c r="R544">
        <f>'Q1'!AM554</f>
        <v/>
      </c>
    </row>
    <row r="545">
      <c r="R545">
        <f>'Q1'!AM555</f>
        <v/>
      </c>
    </row>
    <row r="546">
      <c r="R546">
        <f>'Q1'!AM556</f>
        <v/>
      </c>
    </row>
    <row r="547">
      <c r="R547">
        <f>'Q1'!AM557</f>
        <v/>
      </c>
    </row>
    <row r="548">
      <c r="R548">
        <f>'Q1'!AM558</f>
        <v/>
      </c>
    </row>
    <row r="549">
      <c r="R549">
        <f>'Q1'!AM559</f>
        <v/>
      </c>
    </row>
    <row r="550">
      <c r="R550">
        <f>'Q1'!AM560</f>
        <v/>
      </c>
    </row>
    <row r="551">
      <c r="R551">
        <f>'Q1'!AM561</f>
        <v/>
      </c>
    </row>
    <row r="552">
      <c r="R552">
        <f>'Q1'!AM562</f>
        <v/>
      </c>
    </row>
    <row r="553">
      <c r="R553">
        <f>'Q1'!AM563</f>
        <v/>
      </c>
    </row>
    <row r="554">
      <c r="R554">
        <f>'Q1'!AM564</f>
        <v/>
      </c>
    </row>
    <row r="555">
      <c r="R555">
        <f>'Q1'!AM565</f>
        <v/>
      </c>
    </row>
    <row r="556">
      <c r="R556">
        <f>'Q1'!AM566</f>
        <v/>
      </c>
    </row>
    <row r="557">
      <c r="R557">
        <f>'Q1'!AM567</f>
        <v/>
      </c>
    </row>
    <row r="558">
      <c r="R558">
        <f>'Q1'!AM568</f>
        <v/>
      </c>
    </row>
    <row r="559">
      <c r="R559">
        <f>'Q1'!AM569</f>
        <v/>
      </c>
    </row>
    <row r="560">
      <c r="R560">
        <f>'Q1'!AM570</f>
        <v/>
      </c>
    </row>
    <row r="561">
      <c r="R561">
        <f>'Q1'!AM571</f>
        <v/>
      </c>
    </row>
    <row r="562">
      <c r="R562">
        <f>'Q1'!AM572</f>
        <v/>
      </c>
    </row>
    <row r="563">
      <c r="R563">
        <f>'Q1'!AM573</f>
        <v/>
      </c>
    </row>
    <row r="564">
      <c r="R564">
        <f>'Q1'!AM574</f>
        <v/>
      </c>
    </row>
    <row r="565">
      <c r="R565">
        <f>'Q1'!AM575</f>
        <v/>
      </c>
    </row>
    <row r="566">
      <c r="R566">
        <f>'Q1'!AM576</f>
        <v/>
      </c>
    </row>
    <row r="567">
      <c r="R567">
        <f>'Q1'!AM577</f>
        <v/>
      </c>
    </row>
    <row r="568">
      <c r="R568">
        <f>'Q1'!AM578</f>
        <v/>
      </c>
    </row>
    <row r="569">
      <c r="R569">
        <f>'Q1'!AM579</f>
        <v/>
      </c>
    </row>
    <row r="570">
      <c r="R570">
        <f>'Q1'!AM580</f>
        <v/>
      </c>
    </row>
    <row r="571">
      <c r="R571">
        <f>'Q1'!AM581</f>
        <v/>
      </c>
    </row>
    <row r="572">
      <c r="R572">
        <f>'Q1'!AM582</f>
        <v/>
      </c>
    </row>
    <row r="573">
      <c r="R573">
        <f>'Q1'!AM583</f>
        <v/>
      </c>
    </row>
    <row r="574">
      <c r="R574">
        <f>'Q1'!AM584</f>
        <v/>
      </c>
    </row>
    <row r="575">
      <c r="R575">
        <f>'Q1'!AM585</f>
        <v/>
      </c>
    </row>
    <row r="576">
      <c r="R576">
        <f>'Q1'!AM586</f>
        <v/>
      </c>
    </row>
    <row r="577">
      <c r="R577">
        <f>'Q1'!AM587</f>
        <v/>
      </c>
    </row>
    <row r="578">
      <c r="R578">
        <f>'Q1'!AM588</f>
        <v/>
      </c>
    </row>
    <row r="579">
      <c r="R579">
        <f>'Q1'!AM589</f>
        <v/>
      </c>
    </row>
    <row r="580">
      <c r="R580">
        <f>'Q1'!AM590</f>
        <v/>
      </c>
    </row>
    <row r="581">
      <c r="R581">
        <f>'Q1'!AM591</f>
        <v/>
      </c>
    </row>
    <row r="582">
      <c r="R582">
        <f>'Q1'!AM592</f>
        <v/>
      </c>
    </row>
    <row r="583">
      <c r="R583">
        <f>'Q1'!AM593</f>
        <v/>
      </c>
    </row>
    <row r="584">
      <c r="R584">
        <f>'Q1'!AM594</f>
        <v/>
      </c>
    </row>
    <row r="585">
      <c r="R585">
        <f>'Q1'!AM595</f>
        <v/>
      </c>
    </row>
    <row r="586">
      <c r="R586">
        <f>'Q1'!AM596</f>
        <v/>
      </c>
    </row>
    <row r="587">
      <c r="R587">
        <f>'Q1'!AM597</f>
        <v/>
      </c>
    </row>
    <row r="588">
      <c r="R588">
        <f>'Q1'!AM598</f>
        <v/>
      </c>
    </row>
    <row r="589">
      <c r="R589">
        <f>'Q1'!AM599</f>
        <v/>
      </c>
    </row>
    <row r="590">
      <c r="R590">
        <f>'Q1'!AM600</f>
        <v/>
      </c>
    </row>
    <row r="591">
      <c r="R591">
        <f>'Q1'!AM601</f>
        <v/>
      </c>
    </row>
    <row r="592">
      <c r="R592">
        <f>'Q1'!AM602</f>
        <v/>
      </c>
    </row>
    <row r="593">
      <c r="R593">
        <f>'Q1'!AM603</f>
        <v/>
      </c>
    </row>
    <row r="594">
      <c r="R594">
        <f>'Q1'!AM604</f>
        <v/>
      </c>
    </row>
    <row r="595">
      <c r="R595">
        <f>'Q1'!AM605</f>
        <v/>
      </c>
    </row>
    <row r="596">
      <c r="R596">
        <f>'Q1'!AM606</f>
        <v/>
      </c>
    </row>
    <row r="597">
      <c r="R597">
        <f>'Q1'!AM607</f>
        <v/>
      </c>
    </row>
    <row r="598">
      <c r="R598">
        <f>'Q1'!AM608</f>
        <v/>
      </c>
    </row>
    <row r="599">
      <c r="R599">
        <f>'Q1'!AM609</f>
        <v/>
      </c>
    </row>
    <row r="600">
      <c r="R600">
        <f>'Q1'!AM610</f>
        <v/>
      </c>
    </row>
    <row r="601">
      <c r="R601">
        <f>'Q1'!AM611</f>
        <v/>
      </c>
    </row>
    <row r="602">
      <c r="R602">
        <f>'Q1'!AM612</f>
        <v/>
      </c>
    </row>
    <row r="603">
      <c r="R603">
        <f>'Q1'!AM613</f>
        <v/>
      </c>
    </row>
    <row r="604">
      <c r="Q604" s="66" t="n">
        <v>2</v>
      </c>
      <c r="R604">
        <f>'Q2'!AM14</f>
        <v/>
      </c>
    </row>
    <row r="605">
      <c r="R605">
        <f>'Q2'!AM15</f>
        <v/>
      </c>
    </row>
    <row r="606">
      <c r="R606">
        <f>'Q2'!AM16</f>
        <v/>
      </c>
    </row>
    <row r="607">
      <c r="R607">
        <f>'Q2'!AM17</f>
        <v/>
      </c>
    </row>
    <row r="608">
      <c r="R608">
        <f>'Q2'!AM18</f>
        <v/>
      </c>
    </row>
    <row r="609">
      <c r="R609">
        <f>'Q2'!AM19</f>
        <v/>
      </c>
    </row>
    <row r="610">
      <c r="R610">
        <f>'Q2'!AM20</f>
        <v/>
      </c>
    </row>
    <row r="611">
      <c r="R611">
        <f>'Q2'!AM21</f>
        <v/>
      </c>
    </row>
    <row r="612">
      <c r="R612">
        <f>'Q2'!AM22</f>
        <v/>
      </c>
    </row>
    <row r="613">
      <c r="R613">
        <f>'Q2'!AM23</f>
        <v/>
      </c>
    </row>
    <row r="614">
      <c r="R614">
        <f>'Q2'!AM24</f>
        <v/>
      </c>
    </row>
    <row r="615">
      <c r="R615">
        <f>'Q2'!AM25</f>
        <v/>
      </c>
    </row>
    <row r="616">
      <c r="R616">
        <f>'Q2'!AM26</f>
        <v/>
      </c>
    </row>
    <row r="617">
      <c r="R617">
        <f>'Q2'!AM27</f>
        <v/>
      </c>
    </row>
    <row r="618">
      <c r="R618">
        <f>'Q2'!AM28</f>
        <v/>
      </c>
    </row>
    <row r="619">
      <c r="R619">
        <f>'Q2'!AM29</f>
        <v/>
      </c>
    </row>
    <row r="620">
      <c r="R620">
        <f>'Q2'!AM30</f>
        <v/>
      </c>
    </row>
    <row r="621">
      <c r="R621">
        <f>'Q2'!AM31</f>
        <v/>
      </c>
    </row>
    <row r="622">
      <c r="R622">
        <f>'Q2'!AM32</f>
        <v/>
      </c>
    </row>
    <row r="623">
      <c r="R623">
        <f>'Q2'!AM33</f>
        <v/>
      </c>
    </row>
    <row r="624">
      <c r="R624">
        <f>'Q2'!AM34</f>
        <v/>
      </c>
    </row>
    <row r="625">
      <c r="R625">
        <f>'Q2'!AM35</f>
        <v/>
      </c>
    </row>
    <row r="626">
      <c r="R626">
        <f>'Q2'!AM36</f>
        <v/>
      </c>
    </row>
    <row r="627">
      <c r="R627">
        <f>'Q2'!AM37</f>
        <v/>
      </c>
    </row>
    <row r="628">
      <c r="R628">
        <f>'Q2'!AM38</f>
        <v/>
      </c>
    </row>
    <row r="629">
      <c r="R629">
        <f>'Q2'!AM39</f>
        <v/>
      </c>
    </row>
    <row r="630">
      <c r="R630">
        <f>'Q2'!AM40</f>
        <v/>
      </c>
    </row>
    <row r="631">
      <c r="R631">
        <f>'Q2'!AM41</f>
        <v/>
      </c>
    </row>
    <row r="632">
      <c r="R632">
        <f>'Q2'!AM42</f>
        <v/>
      </c>
    </row>
    <row r="633">
      <c r="R633">
        <f>'Q2'!AM43</f>
        <v/>
      </c>
    </row>
    <row r="634">
      <c r="R634">
        <f>'Q2'!AM44</f>
        <v/>
      </c>
    </row>
    <row r="635">
      <c r="R635">
        <f>'Q2'!AM45</f>
        <v/>
      </c>
    </row>
    <row r="636">
      <c r="R636">
        <f>'Q2'!AM46</f>
        <v/>
      </c>
    </row>
    <row r="637">
      <c r="R637">
        <f>'Q2'!AM47</f>
        <v/>
      </c>
    </row>
    <row r="638">
      <c r="R638">
        <f>'Q2'!AM48</f>
        <v/>
      </c>
    </row>
    <row r="639">
      <c r="R639">
        <f>'Q2'!AM49</f>
        <v/>
      </c>
    </row>
    <row r="640">
      <c r="R640">
        <f>'Q2'!AM50</f>
        <v/>
      </c>
    </row>
    <row r="641">
      <c r="R641">
        <f>'Q2'!AM51</f>
        <v/>
      </c>
    </row>
    <row r="642">
      <c r="R642">
        <f>'Q2'!AM52</f>
        <v/>
      </c>
    </row>
    <row r="643">
      <c r="R643">
        <f>'Q2'!AM53</f>
        <v/>
      </c>
    </row>
    <row r="644">
      <c r="R644">
        <f>'Q2'!AM54</f>
        <v/>
      </c>
    </row>
    <row r="645">
      <c r="R645">
        <f>'Q2'!AM55</f>
        <v/>
      </c>
    </row>
    <row r="646">
      <c r="R646">
        <f>'Q2'!AM56</f>
        <v/>
      </c>
    </row>
    <row r="647">
      <c r="R647">
        <f>'Q2'!AM57</f>
        <v/>
      </c>
    </row>
    <row r="648">
      <c r="R648">
        <f>'Q2'!AM58</f>
        <v/>
      </c>
    </row>
    <row r="649">
      <c r="R649">
        <f>'Q2'!AM59</f>
        <v/>
      </c>
    </row>
    <row r="650">
      <c r="R650">
        <f>'Q2'!AM60</f>
        <v/>
      </c>
    </row>
    <row r="651">
      <c r="R651">
        <f>'Q2'!AM61</f>
        <v/>
      </c>
    </row>
    <row r="652">
      <c r="R652">
        <f>'Q2'!AM62</f>
        <v/>
      </c>
    </row>
    <row r="653">
      <c r="R653">
        <f>'Q2'!AM63</f>
        <v/>
      </c>
    </row>
    <row r="654">
      <c r="R654">
        <f>'Q2'!AM64</f>
        <v/>
      </c>
    </row>
    <row r="655">
      <c r="R655">
        <f>'Q2'!AM65</f>
        <v/>
      </c>
    </row>
    <row r="656">
      <c r="R656">
        <f>'Q2'!AM66</f>
        <v/>
      </c>
    </row>
    <row r="657">
      <c r="R657">
        <f>'Q2'!AM67</f>
        <v/>
      </c>
    </row>
    <row r="658">
      <c r="R658">
        <f>'Q2'!AM68</f>
        <v/>
      </c>
    </row>
    <row r="659">
      <c r="R659">
        <f>'Q2'!AM69</f>
        <v/>
      </c>
    </row>
    <row r="660">
      <c r="R660">
        <f>'Q2'!AM70</f>
        <v/>
      </c>
    </row>
    <row r="661">
      <c r="R661">
        <f>'Q2'!AM71</f>
        <v/>
      </c>
    </row>
    <row r="662">
      <c r="R662">
        <f>'Q2'!AM72</f>
        <v/>
      </c>
    </row>
    <row r="663">
      <c r="R663">
        <f>'Q2'!AM73</f>
        <v/>
      </c>
    </row>
    <row r="664">
      <c r="R664">
        <f>'Q2'!AM74</f>
        <v/>
      </c>
    </row>
    <row r="665">
      <c r="R665">
        <f>'Q2'!AM75</f>
        <v/>
      </c>
    </row>
    <row r="666">
      <c r="R666">
        <f>'Q2'!AM76</f>
        <v/>
      </c>
    </row>
    <row r="667">
      <c r="R667">
        <f>'Q2'!AM77</f>
        <v/>
      </c>
    </row>
    <row r="668">
      <c r="R668">
        <f>'Q2'!AM78</f>
        <v/>
      </c>
    </row>
    <row r="669">
      <c r="R669">
        <f>'Q2'!AM79</f>
        <v/>
      </c>
    </row>
    <row r="670">
      <c r="R670">
        <f>'Q2'!AM80</f>
        <v/>
      </c>
    </row>
    <row r="671">
      <c r="R671">
        <f>'Q2'!AM81</f>
        <v/>
      </c>
    </row>
    <row r="672">
      <c r="R672">
        <f>'Q2'!AM82</f>
        <v/>
      </c>
    </row>
    <row r="673">
      <c r="R673">
        <f>'Q2'!AM83</f>
        <v/>
      </c>
    </row>
    <row r="674">
      <c r="R674">
        <f>'Q2'!AM84</f>
        <v/>
      </c>
    </row>
    <row r="675">
      <c r="R675">
        <f>'Q2'!AM85</f>
        <v/>
      </c>
    </row>
    <row r="676">
      <c r="R676">
        <f>'Q2'!AM86</f>
        <v/>
      </c>
    </row>
    <row r="677">
      <c r="R677">
        <f>'Q2'!AM87</f>
        <v/>
      </c>
    </row>
    <row r="678">
      <c r="R678">
        <f>'Q2'!AM88</f>
        <v/>
      </c>
    </row>
    <row r="679">
      <c r="R679">
        <f>'Q2'!AM89</f>
        <v/>
      </c>
    </row>
    <row r="680">
      <c r="R680">
        <f>'Q2'!AM90</f>
        <v/>
      </c>
    </row>
    <row r="681">
      <c r="R681">
        <f>'Q2'!AM91</f>
        <v/>
      </c>
    </row>
    <row r="682">
      <c r="R682">
        <f>'Q2'!AM92</f>
        <v/>
      </c>
    </row>
    <row r="683">
      <c r="R683">
        <f>'Q2'!AM93</f>
        <v/>
      </c>
    </row>
    <row r="684">
      <c r="R684">
        <f>'Q2'!AM94</f>
        <v/>
      </c>
    </row>
    <row r="685">
      <c r="R685">
        <f>'Q2'!AM95</f>
        <v/>
      </c>
    </row>
    <row r="686">
      <c r="R686">
        <f>'Q2'!AM96</f>
        <v/>
      </c>
    </row>
    <row r="687">
      <c r="R687">
        <f>'Q2'!AM97</f>
        <v/>
      </c>
    </row>
    <row r="688">
      <c r="R688">
        <f>'Q2'!AM98</f>
        <v/>
      </c>
    </row>
    <row r="689">
      <c r="R689">
        <f>'Q2'!AM99</f>
        <v/>
      </c>
    </row>
    <row r="690">
      <c r="R690">
        <f>'Q2'!AM100</f>
        <v/>
      </c>
    </row>
    <row r="691">
      <c r="R691">
        <f>'Q2'!AM101</f>
        <v/>
      </c>
    </row>
    <row r="692">
      <c r="R692">
        <f>'Q2'!AM102</f>
        <v/>
      </c>
    </row>
    <row r="693">
      <c r="R693">
        <f>'Q2'!AM103</f>
        <v/>
      </c>
    </row>
    <row r="694">
      <c r="R694">
        <f>'Q2'!AM104</f>
        <v/>
      </c>
    </row>
    <row r="695">
      <c r="R695">
        <f>'Q2'!AM105</f>
        <v/>
      </c>
    </row>
    <row r="696">
      <c r="R696">
        <f>'Q2'!AM106</f>
        <v/>
      </c>
    </row>
    <row r="697">
      <c r="R697">
        <f>'Q2'!AM107</f>
        <v/>
      </c>
    </row>
    <row r="698">
      <c r="R698">
        <f>'Q2'!AM108</f>
        <v/>
      </c>
    </row>
    <row r="699">
      <c r="R699">
        <f>'Q2'!AM109</f>
        <v/>
      </c>
    </row>
    <row r="700">
      <c r="R700">
        <f>'Q2'!AM110</f>
        <v/>
      </c>
    </row>
    <row r="701">
      <c r="R701">
        <f>'Q2'!AM111</f>
        <v/>
      </c>
    </row>
    <row r="702">
      <c r="R702">
        <f>'Q2'!AM112</f>
        <v/>
      </c>
    </row>
    <row r="703">
      <c r="R703">
        <f>'Q2'!AM113</f>
        <v/>
      </c>
    </row>
    <row r="704">
      <c r="R704">
        <f>'Q2'!AM114</f>
        <v/>
      </c>
    </row>
    <row r="705">
      <c r="R705">
        <f>'Q2'!AM115</f>
        <v/>
      </c>
    </row>
    <row r="706">
      <c r="R706">
        <f>'Q2'!AM116</f>
        <v/>
      </c>
    </row>
    <row r="707">
      <c r="R707">
        <f>'Q2'!AM117</f>
        <v/>
      </c>
    </row>
    <row r="708">
      <c r="R708">
        <f>'Q2'!AM118</f>
        <v/>
      </c>
    </row>
    <row r="709">
      <c r="R709">
        <f>'Q2'!AM119</f>
        <v/>
      </c>
    </row>
    <row r="710">
      <c r="R710">
        <f>'Q2'!AM120</f>
        <v/>
      </c>
    </row>
    <row r="711">
      <c r="R711">
        <f>'Q2'!AM121</f>
        <v/>
      </c>
    </row>
    <row r="712">
      <c r="R712">
        <f>'Q2'!AM122</f>
        <v/>
      </c>
    </row>
    <row r="713">
      <c r="R713">
        <f>'Q2'!AM123</f>
        <v/>
      </c>
    </row>
    <row r="714">
      <c r="R714">
        <f>'Q2'!AM124</f>
        <v/>
      </c>
    </row>
    <row r="715">
      <c r="R715">
        <f>'Q2'!AM125</f>
        <v/>
      </c>
    </row>
    <row r="716">
      <c r="R716">
        <f>'Q2'!AM126</f>
        <v/>
      </c>
    </row>
    <row r="717">
      <c r="R717">
        <f>'Q2'!AM127</f>
        <v/>
      </c>
    </row>
    <row r="718">
      <c r="R718">
        <f>'Q2'!AM128</f>
        <v/>
      </c>
    </row>
    <row r="719">
      <c r="R719">
        <f>'Q2'!AM129</f>
        <v/>
      </c>
    </row>
    <row r="720">
      <c r="R720">
        <f>'Q2'!AM130</f>
        <v/>
      </c>
    </row>
    <row r="721">
      <c r="R721">
        <f>'Q2'!AM131</f>
        <v/>
      </c>
    </row>
    <row r="722">
      <c r="R722">
        <f>'Q2'!AM132</f>
        <v/>
      </c>
    </row>
    <row r="723">
      <c r="R723">
        <f>'Q2'!AM133</f>
        <v/>
      </c>
    </row>
    <row r="724">
      <c r="R724">
        <f>'Q2'!AM134</f>
        <v/>
      </c>
    </row>
    <row r="725">
      <c r="R725">
        <f>'Q2'!AM135</f>
        <v/>
      </c>
    </row>
    <row r="726">
      <c r="R726">
        <f>'Q2'!AM136</f>
        <v/>
      </c>
    </row>
    <row r="727">
      <c r="R727">
        <f>'Q2'!AM137</f>
        <v/>
      </c>
    </row>
    <row r="728">
      <c r="R728">
        <f>'Q2'!AM138</f>
        <v/>
      </c>
    </row>
    <row r="729">
      <c r="R729">
        <f>'Q2'!AM139</f>
        <v/>
      </c>
    </row>
    <row r="730">
      <c r="R730">
        <f>'Q2'!AM140</f>
        <v/>
      </c>
    </row>
    <row r="731">
      <c r="R731">
        <f>'Q2'!AM141</f>
        <v/>
      </c>
    </row>
    <row r="732">
      <c r="R732">
        <f>'Q2'!AM142</f>
        <v/>
      </c>
    </row>
    <row r="733">
      <c r="R733">
        <f>'Q2'!AM143</f>
        <v/>
      </c>
    </row>
    <row r="734">
      <c r="R734">
        <f>'Q2'!AM144</f>
        <v/>
      </c>
    </row>
    <row r="735">
      <c r="R735">
        <f>'Q2'!AM145</f>
        <v/>
      </c>
    </row>
    <row r="736">
      <c r="R736">
        <f>'Q2'!AM146</f>
        <v/>
      </c>
    </row>
    <row r="737">
      <c r="R737">
        <f>'Q2'!AM147</f>
        <v/>
      </c>
    </row>
    <row r="738">
      <c r="R738">
        <f>'Q2'!AM148</f>
        <v/>
      </c>
    </row>
    <row r="739">
      <c r="R739">
        <f>'Q2'!AM149</f>
        <v/>
      </c>
    </row>
    <row r="740">
      <c r="R740">
        <f>'Q2'!AM150</f>
        <v/>
      </c>
    </row>
    <row r="741">
      <c r="R741">
        <f>'Q2'!AM151</f>
        <v/>
      </c>
    </row>
    <row r="742">
      <c r="R742">
        <f>'Q2'!AM152</f>
        <v/>
      </c>
    </row>
    <row r="743">
      <c r="R743">
        <f>'Q2'!AM153</f>
        <v/>
      </c>
    </row>
    <row r="744">
      <c r="R744">
        <f>'Q2'!AM154</f>
        <v/>
      </c>
    </row>
    <row r="745">
      <c r="R745">
        <f>'Q2'!AM155</f>
        <v/>
      </c>
    </row>
    <row r="746">
      <c r="R746">
        <f>'Q2'!AM156</f>
        <v/>
      </c>
    </row>
    <row r="747">
      <c r="R747">
        <f>'Q2'!AM157</f>
        <v/>
      </c>
    </row>
    <row r="748">
      <c r="R748">
        <f>'Q2'!AM158</f>
        <v/>
      </c>
    </row>
    <row r="749">
      <c r="R749">
        <f>'Q2'!AM159</f>
        <v/>
      </c>
    </row>
    <row r="750">
      <c r="R750">
        <f>'Q2'!AM160</f>
        <v/>
      </c>
    </row>
    <row r="751">
      <c r="R751">
        <f>'Q2'!AM161</f>
        <v/>
      </c>
    </row>
    <row r="752">
      <c r="R752">
        <f>'Q2'!AM162</f>
        <v/>
      </c>
    </row>
    <row r="753">
      <c r="R753">
        <f>'Q2'!AM163</f>
        <v/>
      </c>
    </row>
    <row r="754">
      <c r="R754">
        <f>'Q2'!AM164</f>
        <v/>
      </c>
    </row>
    <row r="755">
      <c r="R755">
        <f>'Q2'!AM165</f>
        <v/>
      </c>
    </row>
    <row r="756">
      <c r="R756">
        <f>'Q2'!AM166</f>
        <v/>
      </c>
    </row>
    <row r="757">
      <c r="R757">
        <f>'Q2'!AM167</f>
        <v/>
      </c>
    </row>
    <row r="758">
      <c r="R758">
        <f>'Q2'!AM168</f>
        <v/>
      </c>
    </row>
    <row r="759">
      <c r="R759">
        <f>'Q2'!AM169</f>
        <v/>
      </c>
    </row>
    <row r="760">
      <c r="R760">
        <f>'Q2'!AM170</f>
        <v/>
      </c>
    </row>
    <row r="761">
      <c r="R761">
        <f>'Q2'!AM171</f>
        <v/>
      </c>
    </row>
    <row r="762">
      <c r="R762">
        <f>'Q2'!AM172</f>
        <v/>
      </c>
    </row>
    <row r="763">
      <c r="R763">
        <f>'Q2'!AM173</f>
        <v/>
      </c>
    </row>
    <row r="764">
      <c r="R764">
        <f>'Q2'!AM174</f>
        <v/>
      </c>
    </row>
    <row r="765">
      <c r="R765">
        <f>'Q2'!AM175</f>
        <v/>
      </c>
    </row>
    <row r="766">
      <c r="R766">
        <f>'Q2'!AM176</f>
        <v/>
      </c>
    </row>
    <row r="767">
      <c r="R767">
        <f>'Q2'!AM177</f>
        <v/>
      </c>
    </row>
    <row r="768">
      <c r="R768">
        <f>'Q2'!AM178</f>
        <v/>
      </c>
    </row>
    <row r="769">
      <c r="R769">
        <f>'Q2'!AM179</f>
        <v/>
      </c>
    </row>
    <row r="770">
      <c r="R770">
        <f>'Q2'!AM180</f>
        <v/>
      </c>
    </row>
    <row r="771">
      <c r="R771">
        <f>'Q2'!AM181</f>
        <v/>
      </c>
    </row>
    <row r="772">
      <c r="R772">
        <f>'Q2'!AM182</f>
        <v/>
      </c>
    </row>
    <row r="773">
      <c r="R773">
        <f>'Q2'!AM183</f>
        <v/>
      </c>
    </row>
    <row r="774">
      <c r="R774">
        <f>'Q2'!AM184</f>
        <v/>
      </c>
    </row>
    <row r="775">
      <c r="R775">
        <f>'Q2'!AM185</f>
        <v/>
      </c>
    </row>
    <row r="776">
      <c r="R776">
        <f>'Q2'!AM186</f>
        <v/>
      </c>
    </row>
    <row r="777">
      <c r="R777">
        <f>'Q2'!AM187</f>
        <v/>
      </c>
    </row>
    <row r="778">
      <c r="R778">
        <f>'Q2'!AM188</f>
        <v/>
      </c>
    </row>
    <row r="779">
      <c r="R779">
        <f>'Q2'!AM189</f>
        <v/>
      </c>
    </row>
    <row r="780">
      <c r="R780">
        <f>'Q2'!AM190</f>
        <v/>
      </c>
    </row>
    <row r="781">
      <c r="R781">
        <f>'Q2'!AM191</f>
        <v/>
      </c>
    </row>
    <row r="782">
      <c r="R782">
        <f>'Q2'!AM192</f>
        <v/>
      </c>
    </row>
    <row r="783">
      <c r="R783">
        <f>'Q2'!AM193</f>
        <v/>
      </c>
    </row>
    <row r="784">
      <c r="R784">
        <f>'Q2'!AM194</f>
        <v/>
      </c>
    </row>
    <row r="785">
      <c r="R785">
        <f>'Q2'!AM195</f>
        <v/>
      </c>
    </row>
    <row r="786">
      <c r="R786">
        <f>'Q2'!AM196</f>
        <v/>
      </c>
    </row>
    <row r="787">
      <c r="R787">
        <f>'Q2'!AM197</f>
        <v/>
      </c>
    </row>
    <row r="788">
      <c r="R788">
        <f>'Q2'!AM198</f>
        <v/>
      </c>
    </row>
    <row r="789">
      <c r="R789">
        <f>'Q2'!AM199</f>
        <v/>
      </c>
    </row>
    <row r="790">
      <c r="R790">
        <f>'Q2'!AM200</f>
        <v/>
      </c>
    </row>
    <row r="791">
      <c r="R791">
        <f>'Q2'!AM201</f>
        <v/>
      </c>
    </row>
    <row r="792">
      <c r="R792">
        <f>'Q2'!AM202</f>
        <v/>
      </c>
    </row>
    <row r="793">
      <c r="R793">
        <f>'Q2'!AM203</f>
        <v/>
      </c>
    </row>
    <row r="794">
      <c r="R794">
        <f>'Q2'!AM204</f>
        <v/>
      </c>
    </row>
    <row r="795">
      <c r="R795">
        <f>'Q2'!AM205</f>
        <v/>
      </c>
    </row>
    <row r="796">
      <c r="R796">
        <f>'Q2'!AM206</f>
        <v/>
      </c>
    </row>
    <row r="797">
      <c r="R797">
        <f>'Q2'!AM207</f>
        <v/>
      </c>
    </row>
    <row r="798">
      <c r="R798">
        <f>'Q2'!AM208</f>
        <v/>
      </c>
    </row>
    <row r="799">
      <c r="R799">
        <f>'Q2'!AM209</f>
        <v/>
      </c>
    </row>
    <row r="800">
      <c r="R800">
        <f>'Q2'!AM210</f>
        <v/>
      </c>
    </row>
    <row r="801">
      <c r="R801">
        <f>'Q2'!AM211</f>
        <v/>
      </c>
    </row>
    <row r="802">
      <c r="R802">
        <f>'Q2'!AM212</f>
        <v/>
      </c>
    </row>
    <row r="803">
      <c r="R803">
        <f>'Q2'!AM213</f>
        <v/>
      </c>
    </row>
    <row r="804">
      <c r="R804">
        <f>'Q2'!AM214</f>
        <v/>
      </c>
    </row>
    <row r="805">
      <c r="R805">
        <f>'Q2'!AM215</f>
        <v/>
      </c>
    </row>
    <row r="806">
      <c r="R806">
        <f>'Q2'!AM216</f>
        <v/>
      </c>
    </row>
    <row r="807">
      <c r="R807">
        <f>'Q2'!AM217</f>
        <v/>
      </c>
    </row>
    <row r="808">
      <c r="R808">
        <f>'Q2'!AM218</f>
        <v/>
      </c>
    </row>
    <row r="809">
      <c r="R809">
        <f>'Q2'!AM219</f>
        <v/>
      </c>
    </row>
    <row r="810">
      <c r="R810">
        <f>'Q2'!AM220</f>
        <v/>
      </c>
    </row>
    <row r="811">
      <c r="R811">
        <f>'Q2'!AM221</f>
        <v/>
      </c>
    </row>
    <row r="812">
      <c r="R812">
        <f>'Q2'!AM222</f>
        <v/>
      </c>
    </row>
    <row r="813">
      <c r="R813">
        <f>'Q2'!AM223</f>
        <v/>
      </c>
    </row>
    <row r="814">
      <c r="R814">
        <f>'Q2'!AM224</f>
        <v/>
      </c>
    </row>
    <row r="815">
      <c r="R815">
        <f>'Q2'!AM225</f>
        <v/>
      </c>
    </row>
    <row r="816">
      <c r="R816">
        <f>'Q2'!AM226</f>
        <v/>
      </c>
    </row>
    <row r="817">
      <c r="R817">
        <f>'Q2'!AM227</f>
        <v/>
      </c>
    </row>
    <row r="818">
      <c r="R818">
        <f>'Q2'!AM228</f>
        <v/>
      </c>
    </row>
    <row r="819">
      <c r="R819">
        <f>'Q2'!AM229</f>
        <v/>
      </c>
    </row>
    <row r="820">
      <c r="R820">
        <f>'Q2'!AM230</f>
        <v/>
      </c>
    </row>
    <row r="821">
      <c r="R821">
        <f>'Q2'!AM231</f>
        <v/>
      </c>
    </row>
    <row r="822">
      <c r="R822">
        <f>'Q2'!AM232</f>
        <v/>
      </c>
    </row>
    <row r="823">
      <c r="R823">
        <f>'Q2'!AM233</f>
        <v/>
      </c>
    </row>
    <row r="824">
      <c r="R824">
        <f>'Q2'!AM234</f>
        <v/>
      </c>
    </row>
    <row r="825">
      <c r="R825">
        <f>'Q2'!AM235</f>
        <v/>
      </c>
    </row>
    <row r="826">
      <c r="R826">
        <f>'Q2'!AM236</f>
        <v/>
      </c>
    </row>
    <row r="827">
      <c r="R827">
        <f>'Q2'!AM237</f>
        <v/>
      </c>
    </row>
    <row r="828">
      <c r="R828">
        <f>'Q2'!AM238</f>
        <v/>
      </c>
    </row>
    <row r="829">
      <c r="R829">
        <f>'Q2'!AM239</f>
        <v/>
      </c>
    </row>
    <row r="830">
      <c r="R830">
        <f>'Q2'!AM240</f>
        <v/>
      </c>
    </row>
    <row r="831">
      <c r="R831">
        <f>'Q2'!AM241</f>
        <v/>
      </c>
    </row>
    <row r="832">
      <c r="R832">
        <f>'Q2'!AM242</f>
        <v/>
      </c>
    </row>
    <row r="833">
      <c r="R833">
        <f>'Q2'!AM243</f>
        <v/>
      </c>
    </row>
    <row r="834">
      <c r="R834">
        <f>'Q2'!AM244</f>
        <v/>
      </c>
    </row>
    <row r="835">
      <c r="R835">
        <f>'Q2'!AM245</f>
        <v/>
      </c>
    </row>
    <row r="836">
      <c r="R836">
        <f>'Q2'!AM246</f>
        <v/>
      </c>
    </row>
    <row r="837">
      <c r="R837">
        <f>'Q2'!AM247</f>
        <v/>
      </c>
    </row>
    <row r="838">
      <c r="R838">
        <f>'Q2'!AM248</f>
        <v/>
      </c>
    </row>
    <row r="839">
      <c r="R839">
        <f>'Q2'!AM249</f>
        <v/>
      </c>
    </row>
    <row r="840">
      <c r="R840">
        <f>'Q2'!AM250</f>
        <v/>
      </c>
    </row>
    <row r="841">
      <c r="R841">
        <f>'Q2'!AM251</f>
        <v/>
      </c>
    </row>
    <row r="842">
      <c r="R842">
        <f>'Q2'!AM252</f>
        <v/>
      </c>
    </row>
    <row r="843">
      <c r="R843">
        <f>'Q2'!AM253</f>
        <v/>
      </c>
    </row>
    <row r="844">
      <c r="R844">
        <f>'Q2'!AM254</f>
        <v/>
      </c>
    </row>
    <row r="845">
      <c r="R845">
        <f>'Q2'!AM255</f>
        <v/>
      </c>
    </row>
    <row r="846">
      <c r="R846">
        <f>'Q2'!AM256</f>
        <v/>
      </c>
    </row>
    <row r="847">
      <c r="R847">
        <f>'Q2'!AM257</f>
        <v/>
      </c>
    </row>
    <row r="848">
      <c r="R848">
        <f>'Q2'!AM258</f>
        <v/>
      </c>
    </row>
    <row r="849">
      <c r="R849">
        <f>'Q2'!AM259</f>
        <v/>
      </c>
    </row>
    <row r="850">
      <c r="R850">
        <f>'Q2'!AM260</f>
        <v/>
      </c>
    </row>
    <row r="851">
      <c r="R851">
        <f>'Q2'!AM261</f>
        <v/>
      </c>
    </row>
    <row r="852">
      <c r="R852">
        <f>'Q2'!AM262</f>
        <v/>
      </c>
    </row>
    <row r="853">
      <c r="R853">
        <f>'Q2'!AM263</f>
        <v/>
      </c>
    </row>
    <row r="854">
      <c r="R854">
        <f>'Q2'!AM264</f>
        <v/>
      </c>
    </row>
    <row r="855">
      <c r="R855">
        <f>'Q2'!AM265</f>
        <v/>
      </c>
    </row>
    <row r="856">
      <c r="R856">
        <f>'Q2'!AM266</f>
        <v/>
      </c>
    </row>
    <row r="857">
      <c r="R857">
        <f>'Q2'!AM267</f>
        <v/>
      </c>
    </row>
    <row r="858">
      <c r="R858">
        <f>'Q2'!AM268</f>
        <v/>
      </c>
    </row>
    <row r="859">
      <c r="R859">
        <f>'Q2'!AM269</f>
        <v/>
      </c>
    </row>
    <row r="860">
      <c r="R860">
        <f>'Q2'!AM270</f>
        <v/>
      </c>
    </row>
    <row r="861">
      <c r="R861">
        <f>'Q2'!AM271</f>
        <v/>
      </c>
    </row>
    <row r="862">
      <c r="R862">
        <f>'Q2'!AM272</f>
        <v/>
      </c>
    </row>
    <row r="863">
      <c r="R863">
        <f>'Q2'!AM273</f>
        <v/>
      </c>
    </row>
    <row r="864">
      <c r="R864">
        <f>'Q2'!AM274</f>
        <v/>
      </c>
    </row>
    <row r="865">
      <c r="R865">
        <f>'Q2'!AM275</f>
        <v/>
      </c>
    </row>
    <row r="866">
      <c r="R866">
        <f>'Q2'!AM276</f>
        <v/>
      </c>
    </row>
    <row r="867">
      <c r="R867">
        <f>'Q2'!AM277</f>
        <v/>
      </c>
    </row>
    <row r="868">
      <c r="R868">
        <f>'Q2'!AM278</f>
        <v/>
      </c>
    </row>
    <row r="869">
      <c r="R869">
        <f>'Q2'!AM279</f>
        <v/>
      </c>
    </row>
    <row r="870">
      <c r="R870">
        <f>'Q2'!AM280</f>
        <v/>
      </c>
    </row>
    <row r="871">
      <c r="R871">
        <f>'Q2'!AM281</f>
        <v/>
      </c>
    </row>
    <row r="872">
      <c r="R872">
        <f>'Q2'!AM282</f>
        <v/>
      </c>
    </row>
    <row r="873">
      <c r="R873">
        <f>'Q2'!AM283</f>
        <v/>
      </c>
    </row>
    <row r="874">
      <c r="R874">
        <f>'Q2'!AM284</f>
        <v/>
      </c>
    </row>
    <row r="875">
      <c r="R875">
        <f>'Q2'!AM285</f>
        <v/>
      </c>
    </row>
    <row r="876">
      <c r="R876">
        <f>'Q2'!AM286</f>
        <v/>
      </c>
    </row>
    <row r="877">
      <c r="R877">
        <f>'Q2'!AM287</f>
        <v/>
      </c>
    </row>
    <row r="878">
      <c r="R878">
        <f>'Q2'!AM288</f>
        <v/>
      </c>
    </row>
    <row r="879">
      <c r="R879">
        <f>'Q2'!AM289</f>
        <v/>
      </c>
    </row>
    <row r="880">
      <c r="R880">
        <f>'Q2'!AM290</f>
        <v/>
      </c>
    </row>
    <row r="881">
      <c r="R881">
        <f>'Q2'!AM291</f>
        <v/>
      </c>
    </row>
    <row r="882">
      <c r="R882">
        <f>'Q2'!AM292</f>
        <v/>
      </c>
    </row>
    <row r="883">
      <c r="R883">
        <f>'Q2'!AM293</f>
        <v/>
      </c>
    </row>
    <row r="884">
      <c r="R884">
        <f>'Q2'!AM294</f>
        <v/>
      </c>
    </row>
    <row r="885">
      <c r="R885">
        <f>'Q2'!AM295</f>
        <v/>
      </c>
    </row>
    <row r="886">
      <c r="R886">
        <f>'Q2'!AM296</f>
        <v/>
      </c>
    </row>
    <row r="887">
      <c r="R887">
        <f>'Q2'!AM297</f>
        <v/>
      </c>
    </row>
    <row r="888">
      <c r="R888">
        <f>'Q2'!AM298</f>
        <v/>
      </c>
    </row>
    <row r="889">
      <c r="R889">
        <f>'Q2'!AM299</f>
        <v/>
      </c>
    </row>
    <row r="890">
      <c r="R890">
        <f>'Q2'!AM300</f>
        <v/>
      </c>
    </row>
    <row r="891">
      <c r="R891">
        <f>'Q2'!AM301</f>
        <v/>
      </c>
    </row>
    <row r="892">
      <c r="R892">
        <f>'Q2'!AM302</f>
        <v/>
      </c>
    </row>
    <row r="893">
      <c r="R893">
        <f>'Q2'!AM303</f>
        <v/>
      </c>
    </row>
    <row r="894">
      <c r="R894">
        <f>'Q2'!AM304</f>
        <v/>
      </c>
    </row>
    <row r="895">
      <c r="R895">
        <f>'Q2'!AM305</f>
        <v/>
      </c>
    </row>
    <row r="896">
      <c r="R896">
        <f>'Q2'!AM306</f>
        <v/>
      </c>
    </row>
    <row r="897">
      <c r="R897">
        <f>'Q2'!AM307</f>
        <v/>
      </c>
    </row>
    <row r="898">
      <c r="R898">
        <f>'Q2'!AM308</f>
        <v/>
      </c>
    </row>
    <row r="899">
      <c r="R899">
        <f>'Q2'!AM309</f>
        <v/>
      </c>
    </row>
    <row r="900">
      <c r="R900">
        <f>'Q2'!AM310</f>
        <v/>
      </c>
    </row>
    <row r="901">
      <c r="R901">
        <f>'Q2'!AM311</f>
        <v/>
      </c>
    </row>
    <row r="902">
      <c r="R902">
        <f>'Q2'!AM312</f>
        <v/>
      </c>
    </row>
    <row r="903">
      <c r="R903">
        <f>'Q2'!AM313</f>
        <v/>
      </c>
    </row>
    <row r="904">
      <c r="R904">
        <f>'Q2'!AM314</f>
        <v/>
      </c>
    </row>
    <row r="905">
      <c r="R905">
        <f>'Q2'!AM315</f>
        <v/>
      </c>
    </row>
    <row r="906">
      <c r="R906">
        <f>'Q2'!AM316</f>
        <v/>
      </c>
    </row>
    <row r="907">
      <c r="R907">
        <f>'Q2'!AM317</f>
        <v/>
      </c>
    </row>
    <row r="908">
      <c r="R908">
        <f>'Q2'!AM318</f>
        <v/>
      </c>
    </row>
    <row r="909">
      <c r="R909">
        <f>'Q2'!AM319</f>
        <v/>
      </c>
    </row>
    <row r="910">
      <c r="R910">
        <f>'Q2'!AM320</f>
        <v/>
      </c>
    </row>
    <row r="911">
      <c r="R911">
        <f>'Q2'!AM321</f>
        <v/>
      </c>
    </row>
    <row r="912">
      <c r="R912">
        <f>'Q2'!AM322</f>
        <v/>
      </c>
    </row>
    <row r="913">
      <c r="R913">
        <f>'Q2'!AM323</f>
        <v/>
      </c>
    </row>
    <row r="914">
      <c r="R914">
        <f>'Q2'!AM324</f>
        <v/>
      </c>
    </row>
    <row r="915">
      <c r="R915">
        <f>'Q2'!AM325</f>
        <v/>
      </c>
    </row>
    <row r="916">
      <c r="R916">
        <f>'Q2'!AM326</f>
        <v/>
      </c>
    </row>
    <row r="917">
      <c r="R917">
        <f>'Q2'!AM327</f>
        <v/>
      </c>
    </row>
    <row r="918">
      <c r="R918">
        <f>'Q2'!AM328</f>
        <v/>
      </c>
    </row>
    <row r="919">
      <c r="R919">
        <f>'Q2'!AM329</f>
        <v/>
      </c>
    </row>
    <row r="920">
      <c r="R920">
        <f>'Q2'!AM330</f>
        <v/>
      </c>
    </row>
    <row r="921">
      <c r="R921">
        <f>'Q2'!AM331</f>
        <v/>
      </c>
    </row>
    <row r="922">
      <c r="R922">
        <f>'Q2'!AM332</f>
        <v/>
      </c>
    </row>
    <row r="923">
      <c r="R923">
        <f>'Q2'!AM333</f>
        <v/>
      </c>
    </row>
    <row r="924">
      <c r="R924">
        <f>'Q2'!AM334</f>
        <v/>
      </c>
    </row>
    <row r="925">
      <c r="R925">
        <f>'Q2'!AM335</f>
        <v/>
      </c>
    </row>
    <row r="926">
      <c r="R926">
        <f>'Q2'!AM336</f>
        <v/>
      </c>
    </row>
    <row r="927">
      <c r="R927">
        <f>'Q2'!AM337</f>
        <v/>
      </c>
    </row>
    <row r="928">
      <c r="R928">
        <f>'Q2'!AM338</f>
        <v/>
      </c>
    </row>
    <row r="929">
      <c r="R929">
        <f>'Q2'!AM339</f>
        <v/>
      </c>
    </row>
    <row r="930">
      <c r="R930">
        <f>'Q2'!AM340</f>
        <v/>
      </c>
    </row>
    <row r="931">
      <c r="R931">
        <f>'Q2'!AM341</f>
        <v/>
      </c>
    </row>
    <row r="932">
      <c r="R932">
        <f>'Q2'!AM342</f>
        <v/>
      </c>
    </row>
    <row r="933">
      <c r="R933">
        <f>'Q2'!AM343</f>
        <v/>
      </c>
    </row>
    <row r="934">
      <c r="R934">
        <f>'Q2'!AM344</f>
        <v/>
      </c>
    </row>
    <row r="935">
      <c r="R935">
        <f>'Q2'!AM345</f>
        <v/>
      </c>
    </row>
    <row r="936">
      <c r="R936">
        <f>'Q2'!AM346</f>
        <v/>
      </c>
    </row>
    <row r="937">
      <c r="R937">
        <f>'Q2'!AM347</f>
        <v/>
      </c>
    </row>
    <row r="938">
      <c r="R938">
        <f>'Q2'!AM348</f>
        <v/>
      </c>
    </row>
    <row r="939">
      <c r="R939">
        <f>'Q2'!AM349</f>
        <v/>
      </c>
    </row>
    <row r="940">
      <c r="R940">
        <f>'Q2'!AM350</f>
        <v/>
      </c>
    </row>
    <row r="941">
      <c r="R941">
        <f>'Q2'!AM351</f>
        <v/>
      </c>
    </row>
    <row r="942">
      <c r="R942">
        <f>'Q2'!AM352</f>
        <v/>
      </c>
    </row>
    <row r="943">
      <c r="R943">
        <f>'Q2'!AM353</f>
        <v/>
      </c>
    </row>
    <row r="944">
      <c r="R944">
        <f>'Q2'!AM354</f>
        <v/>
      </c>
    </row>
    <row r="945">
      <c r="R945">
        <f>'Q2'!AM355</f>
        <v/>
      </c>
    </row>
    <row r="946">
      <c r="R946">
        <f>'Q2'!AM356</f>
        <v/>
      </c>
    </row>
    <row r="947">
      <c r="R947">
        <f>'Q2'!AM357</f>
        <v/>
      </c>
    </row>
    <row r="948">
      <c r="R948">
        <f>'Q2'!AM358</f>
        <v/>
      </c>
    </row>
    <row r="949">
      <c r="R949">
        <f>'Q2'!AM359</f>
        <v/>
      </c>
    </row>
    <row r="950">
      <c r="R950">
        <f>'Q2'!AM360</f>
        <v/>
      </c>
    </row>
    <row r="951">
      <c r="R951">
        <f>'Q2'!AM361</f>
        <v/>
      </c>
    </row>
    <row r="952">
      <c r="R952">
        <f>'Q2'!AM362</f>
        <v/>
      </c>
    </row>
    <row r="953">
      <c r="R953">
        <f>'Q2'!AM363</f>
        <v/>
      </c>
    </row>
    <row r="954">
      <c r="R954">
        <f>'Q2'!AM364</f>
        <v/>
      </c>
    </row>
    <row r="955">
      <c r="R955">
        <f>'Q2'!AM365</f>
        <v/>
      </c>
    </row>
    <row r="956">
      <c r="R956">
        <f>'Q2'!AM366</f>
        <v/>
      </c>
    </row>
    <row r="957">
      <c r="R957">
        <f>'Q2'!AM367</f>
        <v/>
      </c>
    </row>
    <row r="958">
      <c r="R958">
        <f>'Q2'!AM368</f>
        <v/>
      </c>
    </row>
    <row r="959">
      <c r="R959">
        <f>'Q2'!AM369</f>
        <v/>
      </c>
    </row>
    <row r="960">
      <c r="R960">
        <f>'Q2'!AM370</f>
        <v/>
      </c>
    </row>
    <row r="961">
      <c r="R961">
        <f>'Q2'!AM371</f>
        <v/>
      </c>
    </row>
    <row r="962">
      <c r="R962">
        <f>'Q2'!AM372</f>
        <v/>
      </c>
    </row>
    <row r="963">
      <c r="R963">
        <f>'Q2'!AM373</f>
        <v/>
      </c>
    </row>
    <row r="964">
      <c r="R964">
        <f>'Q2'!AM374</f>
        <v/>
      </c>
    </row>
    <row r="965">
      <c r="R965">
        <f>'Q2'!AM375</f>
        <v/>
      </c>
    </row>
    <row r="966">
      <c r="R966">
        <f>'Q2'!AM376</f>
        <v/>
      </c>
    </row>
    <row r="967">
      <c r="R967">
        <f>'Q2'!AM377</f>
        <v/>
      </c>
    </row>
    <row r="968">
      <c r="R968">
        <f>'Q2'!AM378</f>
        <v/>
      </c>
    </row>
    <row r="969">
      <c r="R969">
        <f>'Q2'!AM379</f>
        <v/>
      </c>
    </row>
    <row r="970">
      <c r="R970">
        <f>'Q2'!AM380</f>
        <v/>
      </c>
    </row>
    <row r="971">
      <c r="R971">
        <f>'Q2'!AM381</f>
        <v/>
      </c>
    </row>
    <row r="972">
      <c r="R972">
        <f>'Q2'!AM382</f>
        <v/>
      </c>
    </row>
    <row r="973">
      <c r="R973">
        <f>'Q2'!AM383</f>
        <v/>
      </c>
    </row>
    <row r="974">
      <c r="R974">
        <f>'Q2'!AM384</f>
        <v/>
      </c>
    </row>
    <row r="975">
      <c r="R975">
        <f>'Q2'!AM385</f>
        <v/>
      </c>
    </row>
    <row r="976">
      <c r="R976">
        <f>'Q2'!AM386</f>
        <v/>
      </c>
    </row>
    <row r="977">
      <c r="R977">
        <f>'Q2'!AM387</f>
        <v/>
      </c>
    </row>
    <row r="978">
      <c r="R978">
        <f>'Q2'!AM388</f>
        <v/>
      </c>
    </row>
    <row r="979">
      <c r="R979">
        <f>'Q2'!AM389</f>
        <v/>
      </c>
    </row>
    <row r="980">
      <c r="R980">
        <f>'Q2'!AM390</f>
        <v/>
      </c>
    </row>
    <row r="981">
      <c r="R981">
        <f>'Q2'!AM391</f>
        <v/>
      </c>
    </row>
    <row r="982">
      <c r="R982">
        <f>'Q2'!AM392</f>
        <v/>
      </c>
    </row>
    <row r="983">
      <c r="R983">
        <f>'Q2'!AM393</f>
        <v/>
      </c>
    </row>
    <row r="984">
      <c r="R984">
        <f>'Q2'!AM394</f>
        <v/>
      </c>
    </row>
    <row r="985">
      <c r="R985">
        <f>'Q2'!AM395</f>
        <v/>
      </c>
    </row>
    <row r="986">
      <c r="R986">
        <f>'Q2'!AM396</f>
        <v/>
      </c>
    </row>
    <row r="987">
      <c r="R987">
        <f>'Q2'!AM397</f>
        <v/>
      </c>
    </row>
    <row r="988">
      <c r="R988">
        <f>'Q2'!AM398</f>
        <v/>
      </c>
    </row>
    <row r="989">
      <c r="R989">
        <f>'Q2'!AM399</f>
        <v/>
      </c>
    </row>
    <row r="990">
      <c r="R990">
        <f>'Q2'!AM400</f>
        <v/>
      </c>
    </row>
    <row r="991">
      <c r="R991">
        <f>'Q2'!AM401</f>
        <v/>
      </c>
    </row>
    <row r="992">
      <c r="R992">
        <f>'Q2'!AM402</f>
        <v/>
      </c>
    </row>
    <row r="993">
      <c r="R993">
        <f>'Q2'!AM403</f>
        <v/>
      </c>
    </row>
    <row r="994">
      <c r="R994">
        <f>'Q2'!AM404</f>
        <v/>
      </c>
    </row>
    <row r="995">
      <c r="R995">
        <f>'Q2'!AM405</f>
        <v/>
      </c>
    </row>
    <row r="996">
      <c r="R996">
        <f>'Q2'!AM406</f>
        <v/>
      </c>
    </row>
    <row r="997">
      <c r="R997">
        <f>'Q2'!AM407</f>
        <v/>
      </c>
    </row>
    <row r="998">
      <c r="R998">
        <f>'Q2'!AM408</f>
        <v/>
      </c>
    </row>
    <row r="999">
      <c r="R999">
        <f>'Q2'!AM409</f>
        <v/>
      </c>
    </row>
    <row r="1000">
      <c r="R1000">
        <f>'Q2'!AM410</f>
        <v/>
      </c>
    </row>
    <row r="1001">
      <c r="R1001">
        <f>'Q2'!AM411</f>
        <v/>
      </c>
    </row>
    <row r="1002">
      <c r="R1002">
        <f>'Q2'!AM412</f>
        <v/>
      </c>
    </row>
    <row r="1003">
      <c r="R1003">
        <f>'Q2'!AM413</f>
        <v/>
      </c>
    </row>
    <row r="1004">
      <c r="R1004">
        <f>'Q2'!AM414</f>
        <v/>
      </c>
    </row>
    <row r="1005">
      <c r="R1005">
        <f>'Q2'!AM415</f>
        <v/>
      </c>
    </row>
    <row r="1006">
      <c r="R1006">
        <f>'Q2'!AM416</f>
        <v/>
      </c>
    </row>
    <row r="1007">
      <c r="R1007">
        <f>'Q2'!AM417</f>
        <v/>
      </c>
    </row>
    <row r="1008">
      <c r="R1008">
        <f>'Q2'!AM418</f>
        <v/>
      </c>
    </row>
    <row r="1009">
      <c r="R1009">
        <f>'Q2'!AM419</f>
        <v/>
      </c>
    </row>
    <row r="1010">
      <c r="R1010">
        <f>'Q2'!AM420</f>
        <v/>
      </c>
    </row>
    <row r="1011">
      <c r="R1011">
        <f>'Q2'!AM421</f>
        <v/>
      </c>
    </row>
    <row r="1012">
      <c r="R1012">
        <f>'Q2'!AM422</f>
        <v/>
      </c>
    </row>
    <row r="1013">
      <c r="R1013">
        <f>'Q2'!AM423</f>
        <v/>
      </c>
    </row>
    <row r="1014">
      <c r="R1014">
        <f>'Q2'!AM424</f>
        <v/>
      </c>
    </row>
    <row r="1015">
      <c r="R1015">
        <f>'Q2'!AM425</f>
        <v/>
      </c>
    </row>
    <row r="1016">
      <c r="R1016">
        <f>'Q2'!AM426</f>
        <v/>
      </c>
    </row>
    <row r="1017">
      <c r="R1017">
        <f>'Q2'!AM427</f>
        <v/>
      </c>
    </row>
    <row r="1018">
      <c r="R1018">
        <f>'Q2'!AM428</f>
        <v/>
      </c>
    </row>
    <row r="1019">
      <c r="R1019">
        <f>'Q2'!AM429</f>
        <v/>
      </c>
    </row>
    <row r="1020">
      <c r="R1020">
        <f>'Q2'!AM430</f>
        <v/>
      </c>
    </row>
    <row r="1021">
      <c r="R1021">
        <f>'Q2'!AM431</f>
        <v/>
      </c>
    </row>
    <row r="1022">
      <c r="R1022">
        <f>'Q2'!AM432</f>
        <v/>
      </c>
    </row>
    <row r="1023">
      <c r="R1023">
        <f>'Q2'!AM433</f>
        <v/>
      </c>
    </row>
    <row r="1024">
      <c r="R1024">
        <f>'Q2'!AM434</f>
        <v/>
      </c>
    </row>
    <row r="1025">
      <c r="R1025">
        <f>'Q2'!AM435</f>
        <v/>
      </c>
    </row>
    <row r="1026">
      <c r="R1026">
        <f>'Q2'!AM436</f>
        <v/>
      </c>
    </row>
    <row r="1027">
      <c r="R1027">
        <f>'Q2'!AM437</f>
        <v/>
      </c>
    </row>
    <row r="1028">
      <c r="R1028">
        <f>'Q2'!AM438</f>
        <v/>
      </c>
    </row>
    <row r="1029">
      <c r="R1029">
        <f>'Q2'!AM439</f>
        <v/>
      </c>
    </row>
    <row r="1030">
      <c r="R1030">
        <f>'Q2'!AM440</f>
        <v/>
      </c>
    </row>
    <row r="1031">
      <c r="R1031">
        <f>'Q2'!AM441</f>
        <v/>
      </c>
    </row>
    <row r="1032">
      <c r="R1032">
        <f>'Q2'!AM442</f>
        <v/>
      </c>
    </row>
    <row r="1033">
      <c r="R1033">
        <f>'Q2'!AM443</f>
        <v/>
      </c>
    </row>
    <row r="1034">
      <c r="R1034">
        <f>'Q2'!AM444</f>
        <v/>
      </c>
    </row>
    <row r="1035">
      <c r="R1035">
        <f>'Q2'!AM445</f>
        <v/>
      </c>
    </row>
    <row r="1036">
      <c r="R1036">
        <f>'Q2'!AM446</f>
        <v/>
      </c>
    </row>
    <row r="1037">
      <c r="R1037">
        <f>'Q2'!AM447</f>
        <v/>
      </c>
    </row>
    <row r="1038">
      <c r="R1038">
        <f>'Q2'!AM448</f>
        <v/>
      </c>
    </row>
    <row r="1039">
      <c r="R1039">
        <f>'Q2'!AM449</f>
        <v/>
      </c>
    </row>
    <row r="1040">
      <c r="R1040">
        <f>'Q2'!AM450</f>
        <v/>
      </c>
    </row>
    <row r="1041">
      <c r="R1041">
        <f>'Q2'!AM451</f>
        <v/>
      </c>
    </row>
    <row r="1042">
      <c r="R1042">
        <f>'Q2'!AM452</f>
        <v/>
      </c>
    </row>
    <row r="1043">
      <c r="R1043">
        <f>'Q2'!AM453</f>
        <v/>
      </c>
    </row>
    <row r="1044">
      <c r="R1044">
        <f>'Q2'!AM454</f>
        <v/>
      </c>
    </row>
    <row r="1045">
      <c r="R1045">
        <f>'Q2'!AM455</f>
        <v/>
      </c>
    </row>
    <row r="1046">
      <c r="R1046">
        <f>'Q2'!AM456</f>
        <v/>
      </c>
    </row>
    <row r="1047">
      <c r="R1047">
        <f>'Q2'!AM457</f>
        <v/>
      </c>
    </row>
    <row r="1048">
      <c r="R1048">
        <f>'Q2'!AM458</f>
        <v/>
      </c>
    </row>
    <row r="1049">
      <c r="R1049">
        <f>'Q2'!AM459</f>
        <v/>
      </c>
    </row>
    <row r="1050">
      <c r="R1050">
        <f>'Q2'!AM460</f>
        <v/>
      </c>
    </row>
    <row r="1051">
      <c r="R1051">
        <f>'Q2'!AM461</f>
        <v/>
      </c>
    </row>
    <row r="1052">
      <c r="R1052">
        <f>'Q2'!AM462</f>
        <v/>
      </c>
    </row>
    <row r="1053">
      <c r="R1053">
        <f>'Q2'!AM463</f>
        <v/>
      </c>
    </row>
    <row r="1054">
      <c r="R1054">
        <f>'Q2'!AM464</f>
        <v/>
      </c>
    </row>
    <row r="1055">
      <c r="R1055">
        <f>'Q2'!AM465</f>
        <v/>
      </c>
    </row>
    <row r="1056">
      <c r="R1056">
        <f>'Q2'!AM466</f>
        <v/>
      </c>
    </row>
    <row r="1057">
      <c r="R1057">
        <f>'Q2'!AM467</f>
        <v/>
      </c>
    </row>
    <row r="1058">
      <c r="R1058">
        <f>'Q2'!AM468</f>
        <v/>
      </c>
    </row>
    <row r="1059">
      <c r="R1059">
        <f>'Q2'!AM469</f>
        <v/>
      </c>
    </row>
    <row r="1060">
      <c r="R1060">
        <f>'Q2'!AM470</f>
        <v/>
      </c>
    </row>
    <row r="1061">
      <c r="R1061">
        <f>'Q2'!AM471</f>
        <v/>
      </c>
    </row>
    <row r="1062">
      <c r="R1062">
        <f>'Q2'!AM472</f>
        <v/>
      </c>
    </row>
    <row r="1063">
      <c r="R1063">
        <f>'Q2'!AM473</f>
        <v/>
      </c>
    </row>
    <row r="1064">
      <c r="R1064">
        <f>'Q2'!AM474</f>
        <v/>
      </c>
    </row>
    <row r="1065">
      <c r="R1065">
        <f>'Q2'!AM475</f>
        <v/>
      </c>
    </row>
    <row r="1066">
      <c r="R1066">
        <f>'Q2'!AM476</f>
        <v/>
      </c>
    </row>
    <row r="1067">
      <c r="R1067">
        <f>'Q2'!AM477</f>
        <v/>
      </c>
    </row>
    <row r="1068">
      <c r="R1068">
        <f>'Q2'!AM478</f>
        <v/>
      </c>
    </row>
    <row r="1069">
      <c r="R1069">
        <f>'Q2'!AM479</f>
        <v/>
      </c>
    </row>
    <row r="1070">
      <c r="R1070">
        <f>'Q2'!AM480</f>
        <v/>
      </c>
    </row>
    <row r="1071">
      <c r="R1071">
        <f>'Q2'!AM481</f>
        <v/>
      </c>
    </row>
    <row r="1072">
      <c r="R1072">
        <f>'Q2'!AM482</f>
        <v/>
      </c>
    </row>
    <row r="1073">
      <c r="R1073">
        <f>'Q2'!AM483</f>
        <v/>
      </c>
    </row>
    <row r="1074">
      <c r="R1074">
        <f>'Q2'!AM484</f>
        <v/>
      </c>
    </row>
    <row r="1075">
      <c r="R1075">
        <f>'Q2'!AM485</f>
        <v/>
      </c>
    </row>
    <row r="1076">
      <c r="R1076">
        <f>'Q2'!AM486</f>
        <v/>
      </c>
    </row>
    <row r="1077">
      <c r="R1077">
        <f>'Q2'!AM487</f>
        <v/>
      </c>
    </row>
    <row r="1078">
      <c r="R1078">
        <f>'Q2'!AM488</f>
        <v/>
      </c>
    </row>
    <row r="1079">
      <c r="R1079">
        <f>'Q2'!AM489</f>
        <v/>
      </c>
    </row>
    <row r="1080">
      <c r="R1080">
        <f>'Q2'!AM490</f>
        <v/>
      </c>
    </row>
    <row r="1081">
      <c r="R1081">
        <f>'Q2'!AM491</f>
        <v/>
      </c>
    </row>
    <row r="1082">
      <c r="R1082">
        <f>'Q2'!AM492</f>
        <v/>
      </c>
    </row>
    <row r="1083">
      <c r="R1083">
        <f>'Q2'!AM493</f>
        <v/>
      </c>
    </row>
    <row r="1084">
      <c r="R1084">
        <f>'Q2'!AM494</f>
        <v/>
      </c>
    </row>
    <row r="1085">
      <c r="R1085">
        <f>'Q2'!AM495</f>
        <v/>
      </c>
    </row>
    <row r="1086">
      <c r="R1086">
        <f>'Q2'!AM496</f>
        <v/>
      </c>
    </row>
    <row r="1087">
      <c r="R1087">
        <f>'Q2'!AM497</f>
        <v/>
      </c>
    </row>
    <row r="1088">
      <c r="R1088">
        <f>'Q2'!AM498</f>
        <v/>
      </c>
    </row>
    <row r="1089">
      <c r="R1089">
        <f>'Q2'!AM499</f>
        <v/>
      </c>
    </row>
    <row r="1090">
      <c r="R1090">
        <f>'Q2'!AM500</f>
        <v/>
      </c>
    </row>
    <row r="1091">
      <c r="R1091">
        <f>'Q2'!AM501</f>
        <v/>
      </c>
    </row>
    <row r="1092">
      <c r="R1092">
        <f>'Q2'!AM502</f>
        <v/>
      </c>
    </row>
    <row r="1093">
      <c r="R1093">
        <f>'Q2'!AM503</f>
        <v/>
      </c>
    </row>
    <row r="1094">
      <c r="R1094">
        <f>'Q2'!AM504</f>
        <v/>
      </c>
    </row>
    <row r="1095">
      <c r="R1095">
        <f>'Q2'!AM505</f>
        <v/>
      </c>
    </row>
    <row r="1096">
      <c r="R1096">
        <f>'Q2'!AM506</f>
        <v/>
      </c>
    </row>
    <row r="1097">
      <c r="R1097">
        <f>'Q2'!AM507</f>
        <v/>
      </c>
    </row>
    <row r="1098">
      <c r="R1098">
        <f>'Q2'!AM508</f>
        <v/>
      </c>
    </row>
    <row r="1099">
      <c r="R1099">
        <f>'Q2'!AM509</f>
        <v/>
      </c>
    </row>
    <row r="1100">
      <c r="R1100">
        <f>'Q2'!AM510</f>
        <v/>
      </c>
    </row>
    <row r="1101">
      <c r="R1101">
        <f>'Q2'!AM511</f>
        <v/>
      </c>
    </row>
    <row r="1102">
      <c r="R1102">
        <f>'Q2'!AM512</f>
        <v/>
      </c>
    </row>
    <row r="1103">
      <c r="R1103">
        <f>'Q2'!AM513</f>
        <v/>
      </c>
    </row>
    <row r="1104">
      <c r="R1104">
        <f>'Q2'!AM514</f>
        <v/>
      </c>
    </row>
    <row r="1105">
      <c r="R1105">
        <f>'Q2'!AM515</f>
        <v/>
      </c>
    </row>
    <row r="1106">
      <c r="R1106">
        <f>'Q2'!AM516</f>
        <v/>
      </c>
    </row>
    <row r="1107">
      <c r="R1107">
        <f>'Q2'!AM517</f>
        <v/>
      </c>
    </row>
    <row r="1108">
      <c r="R1108">
        <f>'Q2'!AM518</f>
        <v/>
      </c>
    </row>
    <row r="1109">
      <c r="R1109">
        <f>'Q2'!AM519</f>
        <v/>
      </c>
    </row>
    <row r="1110">
      <c r="R1110">
        <f>'Q2'!AM520</f>
        <v/>
      </c>
    </row>
    <row r="1111">
      <c r="R1111">
        <f>'Q2'!AM521</f>
        <v/>
      </c>
    </row>
    <row r="1112">
      <c r="R1112">
        <f>'Q2'!AM522</f>
        <v/>
      </c>
    </row>
    <row r="1113">
      <c r="R1113">
        <f>'Q2'!AM523</f>
        <v/>
      </c>
    </row>
    <row r="1114">
      <c r="R1114">
        <f>'Q2'!AM524</f>
        <v/>
      </c>
    </row>
    <row r="1115">
      <c r="R1115">
        <f>'Q2'!AM525</f>
        <v/>
      </c>
    </row>
    <row r="1116">
      <c r="R1116">
        <f>'Q2'!AM526</f>
        <v/>
      </c>
    </row>
    <row r="1117">
      <c r="R1117">
        <f>'Q2'!AM527</f>
        <v/>
      </c>
    </row>
    <row r="1118">
      <c r="R1118">
        <f>'Q2'!AM528</f>
        <v/>
      </c>
    </row>
    <row r="1119">
      <c r="R1119">
        <f>'Q2'!AM529</f>
        <v/>
      </c>
    </row>
    <row r="1120">
      <c r="R1120">
        <f>'Q2'!AM530</f>
        <v/>
      </c>
    </row>
    <row r="1121">
      <c r="R1121">
        <f>'Q2'!AM531</f>
        <v/>
      </c>
    </row>
    <row r="1122">
      <c r="R1122">
        <f>'Q2'!AM532</f>
        <v/>
      </c>
    </row>
    <row r="1123">
      <c r="R1123">
        <f>'Q2'!AM533</f>
        <v/>
      </c>
    </row>
    <row r="1124">
      <c r="R1124">
        <f>'Q2'!AM534</f>
        <v/>
      </c>
    </row>
    <row r="1125">
      <c r="R1125">
        <f>'Q2'!AM535</f>
        <v/>
      </c>
    </row>
    <row r="1126">
      <c r="R1126">
        <f>'Q2'!AM536</f>
        <v/>
      </c>
    </row>
    <row r="1127">
      <c r="R1127">
        <f>'Q2'!AM537</f>
        <v/>
      </c>
    </row>
    <row r="1128">
      <c r="R1128">
        <f>'Q2'!AM538</f>
        <v/>
      </c>
    </row>
    <row r="1129">
      <c r="R1129">
        <f>'Q2'!AM539</f>
        <v/>
      </c>
    </row>
    <row r="1130">
      <c r="R1130">
        <f>'Q2'!AM540</f>
        <v/>
      </c>
    </row>
    <row r="1131">
      <c r="R1131">
        <f>'Q2'!AM541</f>
        <v/>
      </c>
    </row>
    <row r="1132">
      <c r="R1132">
        <f>'Q2'!AM542</f>
        <v/>
      </c>
    </row>
    <row r="1133">
      <c r="R1133">
        <f>'Q2'!AM543</f>
        <v/>
      </c>
    </row>
    <row r="1134">
      <c r="R1134">
        <f>'Q2'!AM544</f>
        <v/>
      </c>
    </row>
    <row r="1135">
      <c r="R1135">
        <f>'Q2'!AM545</f>
        <v/>
      </c>
    </row>
    <row r="1136">
      <c r="R1136">
        <f>'Q2'!AM546</f>
        <v/>
      </c>
    </row>
    <row r="1137">
      <c r="R1137">
        <f>'Q2'!AM547</f>
        <v/>
      </c>
    </row>
    <row r="1138">
      <c r="R1138">
        <f>'Q2'!AM548</f>
        <v/>
      </c>
    </row>
    <row r="1139">
      <c r="R1139">
        <f>'Q2'!AM549</f>
        <v/>
      </c>
    </row>
    <row r="1140">
      <c r="R1140">
        <f>'Q2'!AM550</f>
        <v/>
      </c>
    </row>
    <row r="1141">
      <c r="R1141">
        <f>'Q2'!AM551</f>
        <v/>
      </c>
    </row>
    <row r="1142">
      <c r="R1142">
        <f>'Q2'!AM552</f>
        <v/>
      </c>
    </row>
    <row r="1143">
      <c r="R1143">
        <f>'Q2'!AM553</f>
        <v/>
      </c>
    </row>
    <row r="1144">
      <c r="R1144">
        <f>'Q2'!AM554</f>
        <v/>
      </c>
    </row>
    <row r="1145">
      <c r="R1145">
        <f>'Q2'!AM555</f>
        <v/>
      </c>
    </row>
    <row r="1146">
      <c r="R1146">
        <f>'Q2'!AM556</f>
        <v/>
      </c>
    </row>
    <row r="1147">
      <c r="R1147">
        <f>'Q2'!AM557</f>
        <v/>
      </c>
    </row>
    <row r="1148">
      <c r="R1148">
        <f>'Q2'!AM558</f>
        <v/>
      </c>
    </row>
    <row r="1149">
      <c r="R1149">
        <f>'Q2'!AM559</f>
        <v/>
      </c>
    </row>
    <row r="1150">
      <c r="R1150">
        <f>'Q2'!AM560</f>
        <v/>
      </c>
    </row>
    <row r="1151">
      <c r="R1151">
        <f>'Q2'!AM561</f>
        <v/>
      </c>
    </row>
    <row r="1152">
      <c r="R1152">
        <f>'Q2'!AM562</f>
        <v/>
      </c>
    </row>
    <row r="1153">
      <c r="R1153">
        <f>'Q2'!AM563</f>
        <v/>
      </c>
    </row>
    <row r="1154">
      <c r="R1154">
        <f>'Q2'!AM564</f>
        <v/>
      </c>
    </row>
    <row r="1155">
      <c r="R1155">
        <f>'Q2'!AM565</f>
        <v/>
      </c>
    </row>
    <row r="1156">
      <c r="R1156">
        <f>'Q2'!AM566</f>
        <v/>
      </c>
    </row>
    <row r="1157">
      <c r="R1157">
        <f>'Q2'!AM567</f>
        <v/>
      </c>
    </row>
    <row r="1158">
      <c r="R1158">
        <f>'Q2'!AM568</f>
        <v/>
      </c>
    </row>
    <row r="1159">
      <c r="R1159">
        <f>'Q2'!AM569</f>
        <v/>
      </c>
    </row>
    <row r="1160">
      <c r="R1160">
        <f>'Q2'!AM570</f>
        <v/>
      </c>
    </row>
    <row r="1161">
      <c r="R1161">
        <f>'Q2'!AM571</f>
        <v/>
      </c>
    </row>
    <row r="1162">
      <c r="R1162">
        <f>'Q2'!AM572</f>
        <v/>
      </c>
    </row>
    <row r="1163">
      <c r="R1163">
        <f>'Q2'!AM573</f>
        <v/>
      </c>
    </row>
    <row r="1164">
      <c r="R1164">
        <f>'Q2'!AM574</f>
        <v/>
      </c>
    </row>
    <row r="1165">
      <c r="R1165">
        <f>'Q2'!AM575</f>
        <v/>
      </c>
    </row>
    <row r="1166">
      <c r="R1166">
        <f>'Q2'!AM576</f>
        <v/>
      </c>
    </row>
    <row r="1167">
      <c r="R1167">
        <f>'Q2'!AM577</f>
        <v/>
      </c>
    </row>
    <row r="1168">
      <c r="R1168">
        <f>'Q2'!AM578</f>
        <v/>
      </c>
    </row>
    <row r="1169">
      <c r="R1169">
        <f>'Q2'!AM579</f>
        <v/>
      </c>
    </row>
    <row r="1170">
      <c r="R1170">
        <f>'Q2'!AM580</f>
        <v/>
      </c>
    </row>
    <row r="1171">
      <c r="R1171">
        <f>'Q2'!AM581</f>
        <v/>
      </c>
    </row>
    <row r="1172">
      <c r="R1172">
        <f>'Q2'!AM582</f>
        <v/>
      </c>
    </row>
    <row r="1173">
      <c r="R1173">
        <f>'Q2'!AM583</f>
        <v/>
      </c>
    </row>
    <row r="1174">
      <c r="R1174">
        <f>'Q2'!AM584</f>
        <v/>
      </c>
    </row>
    <row r="1175">
      <c r="R1175">
        <f>'Q2'!AM585</f>
        <v/>
      </c>
    </row>
    <row r="1176">
      <c r="R1176">
        <f>'Q2'!AM586</f>
        <v/>
      </c>
    </row>
    <row r="1177">
      <c r="R1177">
        <f>'Q2'!AM587</f>
        <v/>
      </c>
    </row>
    <row r="1178">
      <c r="R1178">
        <f>'Q2'!AM588</f>
        <v/>
      </c>
    </row>
    <row r="1179">
      <c r="R1179">
        <f>'Q2'!AM589</f>
        <v/>
      </c>
    </row>
    <row r="1180">
      <c r="R1180">
        <f>'Q2'!AM590</f>
        <v/>
      </c>
    </row>
    <row r="1181">
      <c r="R1181">
        <f>'Q2'!AM591</f>
        <v/>
      </c>
    </row>
    <row r="1182">
      <c r="R1182">
        <f>'Q2'!AM592</f>
        <v/>
      </c>
    </row>
    <row r="1183">
      <c r="R1183">
        <f>'Q2'!AM593</f>
        <v/>
      </c>
    </row>
    <row r="1184">
      <c r="R1184">
        <f>'Q2'!AM594</f>
        <v/>
      </c>
    </row>
    <row r="1185">
      <c r="R1185">
        <f>'Q2'!AM595</f>
        <v/>
      </c>
    </row>
    <row r="1186">
      <c r="R1186">
        <f>'Q2'!AM596</f>
        <v/>
      </c>
    </row>
    <row r="1187">
      <c r="R1187">
        <f>'Q2'!AM597</f>
        <v/>
      </c>
    </row>
    <row r="1188">
      <c r="R1188">
        <f>'Q2'!AM598</f>
        <v/>
      </c>
    </row>
    <row r="1189">
      <c r="R1189">
        <f>'Q2'!AM599</f>
        <v/>
      </c>
    </row>
    <row r="1190">
      <c r="R1190">
        <f>'Q2'!AM600</f>
        <v/>
      </c>
    </row>
    <row r="1191">
      <c r="R1191">
        <f>'Q2'!AM601</f>
        <v/>
      </c>
    </row>
    <row r="1192">
      <c r="R1192">
        <f>'Q2'!AM602</f>
        <v/>
      </c>
    </row>
    <row r="1193">
      <c r="R1193">
        <f>'Q2'!AM603</f>
        <v/>
      </c>
    </row>
    <row r="1194">
      <c r="R1194">
        <f>'Q2'!AM604</f>
        <v/>
      </c>
    </row>
    <row r="1195">
      <c r="R1195">
        <f>'Q2'!AM605</f>
        <v/>
      </c>
    </row>
    <row r="1196">
      <c r="R1196">
        <f>'Q2'!AM606</f>
        <v/>
      </c>
    </row>
    <row r="1197">
      <c r="R1197">
        <f>'Q2'!AM607</f>
        <v/>
      </c>
    </row>
    <row r="1198">
      <c r="R1198">
        <f>'Q2'!AM608</f>
        <v/>
      </c>
    </row>
    <row r="1199">
      <c r="R1199">
        <f>'Q2'!AM609</f>
        <v/>
      </c>
    </row>
    <row r="1200">
      <c r="R1200">
        <f>'Q2'!AM610</f>
        <v/>
      </c>
    </row>
    <row r="1201">
      <c r="R1201">
        <f>'Q2'!AM611</f>
        <v/>
      </c>
    </row>
    <row r="1202">
      <c r="R1202">
        <f>'Q2'!AM612</f>
        <v/>
      </c>
    </row>
    <row r="1203">
      <c r="R1203">
        <f>'Q2'!AM613</f>
        <v/>
      </c>
    </row>
    <row r="1204">
      <c r="Q1204" s="66" t="n"/>
    </row>
    <row r="1804">
      <c r="Q1804" s="66" t="n"/>
    </row>
    <row r="2404">
      <c r="Q2404" s="66" t="n"/>
    </row>
    <row r="3004">
      <c r="Q3004" s="66" t="n"/>
    </row>
    <row r="3604">
      <c r="Q3604" s="66" t="n"/>
    </row>
    <row r="4204">
      <c r="Q4204" s="66" t="n"/>
    </row>
  </sheetData>
  <mergeCells count="17">
    <mergeCell ref="E16:J16"/>
    <mergeCell ref="C2:H2"/>
    <mergeCell ref="G7:H7"/>
    <mergeCell ref="E10:F10"/>
    <mergeCell ref="E7:F7"/>
    <mergeCell ref="I10:J10"/>
    <mergeCell ref="G10:H10"/>
    <mergeCell ref="G11:H11"/>
    <mergeCell ref="E11:F11"/>
    <mergeCell ref="E17:J17"/>
    <mergeCell ref="I11:J11"/>
    <mergeCell ref="E13:J13"/>
    <mergeCell ref="E14:J14"/>
    <mergeCell ref="C4:H4"/>
    <mergeCell ref="C3:H3"/>
    <mergeCell ref="G8:H8"/>
    <mergeCell ref="E8:F8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Jorge Andrés García Dahinten</dc:creator>
  <dcterms:created xsi:type="dcterms:W3CDTF">2026-03-24T17:14:54Z</dcterms:created>
  <dcterms:modified xsi:type="dcterms:W3CDTF">2026-10-14T19:12:56Z</dcterms:modified>
  <cp:lastModifiedBy>Estadistica Tecpan Hospital</cp:lastModifiedBy>
</cp:coreProperties>
</file>